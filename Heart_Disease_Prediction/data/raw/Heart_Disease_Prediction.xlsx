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钱程远\Desktop\"/>
    </mc:Choice>
  </mc:AlternateContent>
  <xr:revisionPtr revIDLastSave="0" documentId="13_ncr:1_{8C097F95-A834-4F39-B620-5FF426CC458D}" xr6:coauthVersionLast="47" xr6:coauthVersionMax="47" xr10:uidLastSave="{00000000-0000-0000-0000-000000000000}"/>
  <bookViews>
    <workbookView xWindow="-110" yWindow="-110" windowWidth="25820" windowHeight="13900" xr2:uid="{16A9E5D1-3832-4EB2-A7F1-419B02F9989A}"/>
  </bookViews>
  <sheets>
    <sheet name="Heart_Diseas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3" i="1" l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<sst xmlns="http://schemas.openxmlformats.org/spreadsheetml/2006/main" count="287" uniqueCount="19">
  <si>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</si>
  <si>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</si>
  <si>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</si>
  <si>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</si>
  <si>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</si>
  <si>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</si>
  <si>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</si>
  <si>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</si>
  <si>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</si>
  <si>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</si>
  <si>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</si>
  <si>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</si>
  <si>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</si>
  <si>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</si>
  <si>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Presence</t>
  </si>
  <si>
    <t>Absence</t>
  </si>
  <si>
    <t>列1</t>
    <phoneticPr fontId="18" type="noConversion"/>
  </si>
  <si>
    <t>Absence</t>
    <phoneticPr fontId="18" type="noConversion"/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</si>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</sst>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7F6EB-7BF8-4362-8A11-CE11C44AFA78}" name="表1" displayName="表1" ref="A1:O273" totalsRowCount="1">
  <autoFilter ref="A1:O272" xr:uid="{BDF7F6EB-7BF8-4362-8A11-CE11C44AFA78}"/>
  <tableColumns count="15">
    <tableColumn id="1" xr3:uid="{57509E7D-06E6-4DB7-8EA4-0E1E71EE7A8B}" name="Age" totalsRowLabel="汇总"/>
    <tableColumn id="2" xr3:uid="{5AD1E554-54AD-4E43-A1E4-81CB7CF0D9E9}" name="Sex"/>
    <tableColumn id="3" xr3:uid="{53CA72B4-72EF-4573-9A47-5E76EECB405E}" name="Chest pain type"/>
    <tableColumn id="4" xr3:uid="{DA933233-7A6E-44B6-8BEC-CA4E3E84A03F}" name="BP"/>
    <tableColumn id="5" xr3:uid="{13DEA8F6-90E6-4039-8AFC-5FD2A325896C}" name="Cholesterol"/>
    <tableColumn id="6" xr3:uid="{29839600-3BB1-4EF3-A543-CBF047BE4D02}" name="FBS over 120"/>
    <tableColumn id="7" xr3:uid="{AB417C35-1BB5-496D-8033-483557E69E48}" name="EKG results"/>
    <tableColumn id="8" xr3:uid="{F3241F0F-1FBF-4B3C-B3CA-D17F60C72697}" name="Max HR"/>
    <tableColumn id="9" xr3:uid="{E5483F0F-6663-45D3-879F-22E1267CE717}" name="Exercise angina"/>
    <tableColumn id="10" xr3:uid="{84D55E4F-0F03-43AE-B011-1DACD3030F2C}" name="ST depression"/>
    <tableColumn id="11" xr3:uid="{D481C36B-0980-45D5-8D4F-C0ADA0820BFE}" name="Slope of ST"/>
    <tableColumn id="12" xr3:uid="{D553C58E-F1EE-46B9-833E-E94C73106503}" name="Number of vessels fluro"/>
    <tableColumn id="13" xr3:uid="{37BFC14C-9D02-45A3-9673-668BA143B395}" name="Thallium"/>
    <tableColumn id="14" xr3:uid="{983D4304-AE8D-4128-AB4A-AD24060067CE}" name="Heart Disease" totalsRowFunction="sum"/>
    <tableColumn id="15" xr3:uid="{82A31E66-03F6-4A66-800A-F3C4839814C5}" name="列1" totalsRowFunction="sum" dataDxfId="0">
      <calculatedColumnFormula xml:space="preserve"> 表1[[#This Row],[Thallium]]*0.6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7AD4-0AA8-4A4B-B5EB-55DE56B07487}">
  <dimension ref="A1:O273"/>
  <sheetViews>
    <sheetView tabSelected="1" topLeftCell="A251" workbookViewId="0">
      <selection activeCell="N120" sqref="N120"/>
    </sheetView>
  </sheetViews>
  <sheetFormatPr defaultRowHeight="14" x14ac:dyDescent="0.3"/>
  <cols>
    <col min="3" max="3" width="15.5" customWidth="1"/>
    <col min="5" max="5" width="12.08203125" customWidth="1"/>
    <col min="6" max="6" width="13.25" customWidth="1"/>
    <col min="7" max="7" width="11.75" customWidth="1"/>
    <col min="8" max="8" width="9.08203125" customWidth="1"/>
    <col min="9" max="9" width="15.25" customWidth="1"/>
    <col min="10" max="10" width="14.08203125" customWidth="1"/>
    <col min="11" max="11" width="12" customWidth="1"/>
    <col min="12" max="12" width="22.33203125" customWidth="1"/>
    <col min="13" max="13" width="9.75" customWidth="1"/>
    <col min="14" max="14" width="13.9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</row>
    <row r="2" spans="1:15" x14ac:dyDescent="0.3">
      <c r="A2">
        <v>70</v>
      </c>
      <c r="B2">
        <v>1</v>
      </c>
      <c r="C2">
        <v>4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>
        <v>2.4</v>
      </c>
      <c r="K2">
        <v>2</v>
      </c>
      <c r="L2">
        <v>3</v>
      </c>
      <c r="M2">
        <v>3</v>
      </c>
      <c r="N2" t="s">
        <v>14</v>
      </c>
      <c r="O2">
        <f xml:space="preserve"> 表1[[#This Row],[Thallium]]*0.6</f>
        <v>1.7999999999999998</v>
      </c>
    </row>
    <row r="3" spans="1:15" x14ac:dyDescent="0.3">
      <c r="A3">
        <v>67</v>
      </c>
      <c r="B3">
        <v>0</v>
      </c>
      <c r="C3">
        <v>3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>
        <v>1.6</v>
      </c>
      <c r="K3">
        <v>2</v>
      </c>
      <c r="L3">
        <v>0</v>
      </c>
      <c r="M3">
        <v>7</v>
      </c>
      <c r="N3" t="s">
        <v>15</v>
      </c>
      <c r="O3">
        <f xml:space="preserve"> 表1[[#This Row],[Thallium]]*0.6</f>
        <v>4.2</v>
      </c>
    </row>
    <row r="4" spans="1:15" x14ac:dyDescent="0.3">
      <c r="A4">
        <v>57</v>
      </c>
      <c r="B4">
        <v>1</v>
      </c>
      <c r="C4">
        <v>2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>
        <v>0.3</v>
      </c>
      <c r="K4">
        <v>1</v>
      </c>
      <c r="L4">
        <v>0</v>
      </c>
      <c r="M4">
        <v>7</v>
      </c>
      <c r="N4" t="s">
        <v>14</v>
      </c>
      <c r="O4">
        <f xml:space="preserve"> 表1[[#This Row],[Thallium]]*0.6</f>
        <v>4.2</v>
      </c>
    </row>
    <row r="5" spans="1:15" x14ac:dyDescent="0.3">
      <c r="A5">
        <v>64</v>
      </c>
      <c r="B5">
        <v>1</v>
      </c>
      <c r="C5">
        <v>4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>
        <v>0.2</v>
      </c>
      <c r="K5">
        <v>2</v>
      </c>
      <c r="L5">
        <v>1</v>
      </c>
      <c r="M5">
        <v>7</v>
      </c>
      <c r="N5" t="s">
        <v>15</v>
      </c>
      <c r="O5">
        <f xml:space="preserve"> 表1[[#This Row],[Thallium]]*0.6</f>
        <v>4.2</v>
      </c>
    </row>
    <row r="6" spans="1:15" x14ac:dyDescent="0.3">
      <c r="A6">
        <v>74</v>
      </c>
      <c r="B6">
        <v>0</v>
      </c>
      <c r="C6">
        <v>2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>
        <v>0.2</v>
      </c>
      <c r="K6">
        <v>1</v>
      </c>
      <c r="L6">
        <v>1</v>
      </c>
      <c r="M6">
        <v>3</v>
      </c>
      <c r="N6" t="s">
        <v>15</v>
      </c>
      <c r="O6">
        <f xml:space="preserve"> 表1[[#This Row],[Thallium]]*0.6</f>
        <v>1.7999999999999998</v>
      </c>
    </row>
    <row r="7" spans="1:15" x14ac:dyDescent="0.3">
      <c r="A7">
        <v>65</v>
      </c>
      <c r="B7">
        <v>1</v>
      </c>
      <c r="C7">
        <v>4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>
        <v>0.4</v>
      </c>
      <c r="K7">
        <v>1</v>
      </c>
      <c r="L7">
        <v>0</v>
      </c>
      <c r="M7">
        <v>7</v>
      </c>
      <c r="N7" t="s">
        <v>15</v>
      </c>
      <c r="O7">
        <f xml:space="preserve"> 表1[[#This Row],[Thallium]]*0.6</f>
        <v>4.2</v>
      </c>
    </row>
    <row r="8" spans="1:15" x14ac:dyDescent="0.3">
      <c r="A8">
        <v>56</v>
      </c>
      <c r="B8">
        <v>1</v>
      </c>
      <c r="C8">
        <v>3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>
        <v>0.6</v>
      </c>
      <c r="K8">
        <v>2</v>
      </c>
      <c r="L8">
        <v>1</v>
      </c>
      <c r="M8">
        <v>6</v>
      </c>
      <c r="N8" t="s">
        <v>14</v>
      </c>
      <c r="O8">
        <f xml:space="preserve"> 表1[[#This Row],[Thallium]]*0.6</f>
        <v>3.5999999999999996</v>
      </c>
    </row>
    <row r="9" spans="1:15" x14ac:dyDescent="0.3">
      <c r="A9">
        <v>59</v>
      </c>
      <c r="B9">
        <v>1</v>
      </c>
      <c r="C9">
        <v>4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>
        <v>1.2</v>
      </c>
      <c r="K9">
        <v>2</v>
      </c>
      <c r="L9">
        <v>1</v>
      </c>
      <c r="M9">
        <v>7</v>
      </c>
      <c r="N9" t="s">
        <v>14</v>
      </c>
      <c r="O9">
        <f xml:space="preserve"> 表1[[#This Row],[Thallium]]*0.6</f>
        <v>4.2</v>
      </c>
    </row>
    <row r="10" spans="1:15" x14ac:dyDescent="0.3">
      <c r="A10">
        <v>60</v>
      </c>
      <c r="B10">
        <v>1</v>
      </c>
      <c r="C10">
        <v>4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>
        <v>1.2</v>
      </c>
      <c r="K10">
        <v>2</v>
      </c>
      <c r="L10">
        <v>2</v>
      </c>
      <c r="M10">
        <v>7</v>
      </c>
      <c r="N10" t="s">
        <v>14</v>
      </c>
      <c r="O10">
        <f xml:space="preserve"> 表1[[#This Row],[Thallium]]*0.6</f>
        <v>4.2</v>
      </c>
    </row>
    <row r="11" spans="1:15" x14ac:dyDescent="0.3">
      <c r="A11">
        <v>63</v>
      </c>
      <c r="B11">
        <v>0</v>
      </c>
      <c r="C11">
        <v>4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>
        <v>4</v>
      </c>
      <c r="K11">
        <v>2</v>
      </c>
      <c r="L11">
        <v>3</v>
      </c>
      <c r="M11">
        <v>7</v>
      </c>
      <c r="N11" t="s">
        <v>14</v>
      </c>
      <c r="O11">
        <f xml:space="preserve"> 表1[[#This Row],[Thallium]]*0.6</f>
        <v>4.2</v>
      </c>
    </row>
    <row r="12" spans="1:15" x14ac:dyDescent="0.3">
      <c r="A12">
        <v>59</v>
      </c>
      <c r="B12">
        <v>1</v>
      </c>
      <c r="C12">
        <v>4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>
        <v>0.5</v>
      </c>
      <c r="K12">
        <v>2</v>
      </c>
      <c r="L12">
        <v>0</v>
      </c>
      <c r="M12">
        <v>7</v>
      </c>
      <c r="N12" t="s">
        <v>15</v>
      </c>
      <c r="O12">
        <f xml:space="preserve"> 表1[[#This Row],[Thallium]]*0.6</f>
        <v>4.2</v>
      </c>
    </row>
    <row r="13" spans="1:15" x14ac:dyDescent="0.3">
      <c r="A13">
        <v>53</v>
      </c>
      <c r="B13">
        <v>1</v>
      </c>
      <c r="C13">
        <v>4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>
        <v>0</v>
      </c>
      <c r="K13">
        <v>1</v>
      </c>
      <c r="L13">
        <v>0</v>
      </c>
      <c r="M13">
        <v>7</v>
      </c>
      <c r="N13" t="s">
        <v>15</v>
      </c>
      <c r="O13">
        <f xml:space="preserve"> 表1[[#This Row],[Thallium]]*0.6</f>
        <v>4.2</v>
      </c>
    </row>
    <row r="14" spans="1:15" x14ac:dyDescent="0.3">
      <c r="A14">
        <v>44</v>
      </c>
      <c r="B14">
        <v>1</v>
      </c>
      <c r="C14">
        <v>3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>
        <v>0</v>
      </c>
      <c r="K14">
        <v>1</v>
      </c>
      <c r="L14">
        <v>0</v>
      </c>
      <c r="M14">
        <v>3</v>
      </c>
      <c r="N14" t="s">
        <v>15</v>
      </c>
      <c r="O14">
        <f xml:space="preserve"> 表1[[#This Row],[Thallium]]*0.6</f>
        <v>1.7999999999999998</v>
      </c>
    </row>
    <row r="15" spans="1:15" x14ac:dyDescent="0.3">
      <c r="A15">
        <v>61</v>
      </c>
      <c r="B15">
        <v>1</v>
      </c>
      <c r="C15">
        <v>1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>
        <v>2.6</v>
      </c>
      <c r="K15">
        <v>2</v>
      </c>
      <c r="L15">
        <v>2</v>
      </c>
      <c r="M15">
        <v>3</v>
      </c>
      <c r="N15" t="s">
        <v>14</v>
      </c>
      <c r="O15">
        <f xml:space="preserve"> 表1[[#This Row],[Thallium]]*0.6</f>
        <v>1.7999999999999998</v>
      </c>
    </row>
    <row r="16" spans="1:15" x14ac:dyDescent="0.3">
      <c r="A16">
        <v>57</v>
      </c>
      <c r="B16">
        <v>0</v>
      </c>
      <c r="C16">
        <v>4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>
        <v>0</v>
      </c>
      <c r="K16">
        <v>1</v>
      </c>
      <c r="L16">
        <v>1</v>
      </c>
      <c r="M16">
        <v>3</v>
      </c>
      <c r="N16" t="s">
        <v>15</v>
      </c>
      <c r="O16">
        <f xml:space="preserve"> 表1[[#This Row],[Thallium]]*0.6</f>
        <v>1.7999999999999998</v>
      </c>
    </row>
    <row r="17" spans="1:15" x14ac:dyDescent="0.3">
      <c r="A17">
        <v>71</v>
      </c>
      <c r="B17">
        <v>0</v>
      </c>
      <c r="C17">
        <v>4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>
        <v>1.6</v>
      </c>
      <c r="K17">
        <v>2</v>
      </c>
      <c r="L17">
        <v>0</v>
      </c>
      <c r="M17">
        <v>3</v>
      </c>
      <c r="N17" t="s">
        <v>15</v>
      </c>
      <c r="O17">
        <f xml:space="preserve"> 表1[[#This Row],[Thallium]]*0.6</f>
        <v>1.7999999999999998</v>
      </c>
    </row>
    <row r="18" spans="1:15" x14ac:dyDescent="0.3">
      <c r="A18">
        <v>46</v>
      </c>
      <c r="B18">
        <v>1</v>
      </c>
      <c r="C18">
        <v>4</v>
      </c>
      <c r="D18">
        <v>140</v>
      </c>
      <c r="E18">
        <v>311</v>
      </c>
      <c r="F18">
        <v>0</v>
      </c>
      <c r="G18">
        <v>0</v>
      </c>
      <c r="H18">
        <v>120</v>
      </c>
      <c r="I18">
        <v>1</v>
      </c>
      <c r="J18">
        <v>1.8</v>
      </c>
      <c r="K18">
        <v>2</v>
      </c>
      <c r="L18">
        <v>2</v>
      </c>
      <c r="M18">
        <v>7</v>
      </c>
      <c r="N18" t="s">
        <v>14</v>
      </c>
      <c r="O18">
        <f xml:space="preserve"> 表1[[#This Row],[Thallium]]*0.6</f>
        <v>4.2</v>
      </c>
    </row>
    <row r="19" spans="1:15" x14ac:dyDescent="0.3">
      <c r="A19">
        <v>53</v>
      </c>
      <c r="B19">
        <v>1</v>
      </c>
      <c r="C19">
        <v>4</v>
      </c>
      <c r="D19">
        <v>140</v>
      </c>
      <c r="E19">
        <v>203</v>
      </c>
      <c r="F19">
        <v>1</v>
      </c>
      <c r="G19">
        <v>2</v>
      </c>
      <c r="H19">
        <v>155</v>
      </c>
      <c r="I19">
        <v>1</v>
      </c>
      <c r="J19">
        <v>3.1</v>
      </c>
      <c r="K19">
        <v>3</v>
      </c>
      <c r="L19">
        <v>0</v>
      </c>
      <c r="M19">
        <v>7</v>
      </c>
      <c r="N19" t="s">
        <v>14</v>
      </c>
      <c r="O19">
        <f xml:space="preserve"> 表1[[#This Row],[Thallium]]*0.6</f>
        <v>4.2</v>
      </c>
    </row>
    <row r="20" spans="1:15" x14ac:dyDescent="0.3">
      <c r="A20">
        <v>64</v>
      </c>
      <c r="B20">
        <v>1</v>
      </c>
      <c r="C20">
        <v>1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>
        <v>1.8</v>
      </c>
      <c r="K20">
        <v>2</v>
      </c>
      <c r="L20">
        <v>0</v>
      </c>
      <c r="M20">
        <v>3</v>
      </c>
      <c r="N20" t="s">
        <v>15</v>
      </c>
      <c r="O20">
        <f xml:space="preserve"> 表1[[#This Row],[Thallium]]*0.6</f>
        <v>1.7999999999999998</v>
      </c>
    </row>
    <row r="21" spans="1:15" x14ac:dyDescent="0.3">
      <c r="A21">
        <v>40</v>
      </c>
      <c r="B21">
        <v>1</v>
      </c>
      <c r="C21">
        <v>1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>
        <v>1.4</v>
      </c>
      <c r="K21">
        <v>1</v>
      </c>
      <c r="L21">
        <v>0</v>
      </c>
      <c r="M21">
        <v>7</v>
      </c>
      <c r="N21" t="s">
        <v>15</v>
      </c>
      <c r="O21">
        <f xml:space="preserve"> 表1[[#This Row],[Thallium]]*0.6</f>
        <v>4.2</v>
      </c>
    </row>
    <row r="22" spans="1:15" x14ac:dyDescent="0.3">
      <c r="A22">
        <v>67</v>
      </c>
      <c r="B22">
        <v>1</v>
      </c>
      <c r="C22">
        <v>4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>
        <v>2.6</v>
      </c>
      <c r="K22">
        <v>2</v>
      </c>
      <c r="L22">
        <v>2</v>
      </c>
      <c r="M22">
        <v>7</v>
      </c>
      <c r="N22" t="s">
        <v>14</v>
      </c>
      <c r="O22">
        <f xml:space="preserve"> 表1[[#This Row],[Thallium]]*0.6</f>
        <v>4.2</v>
      </c>
    </row>
    <row r="23" spans="1:15" x14ac:dyDescent="0.3">
      <c r="A23">
        <v>48</v>
      </c>
      <c r="B23">
        <v>1</v>
      </c>
      <c r="C23">
        <v>2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>
        <v>0.2</v>
      </c>
      <c r="K23">
        <v>2</v>
      </c>
      <c r="L23">
        <v>0</v>
      </c>
      <c r="M23">
        <v>3</v>
      </c>
      <c r="N23" t="s">
        <v>15</v>
      </c>
      <c r="O23">
        <f xml:space="preserve"> 表1[[#This Row],[Thallium]]*0.6</f>
        <v>1.7999999999999998</v>
      </c>
    </row>
    <row r="24" spans="1:15" x14ac:dyDescent="0.3">
      <c r="A24">
        <v>43</v>
      </c>
      <c r="B24">
        <v>1</v>
      </c>
      <c r="C24">
        <v>4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>
        <v>1.2</v>
      </c>
      <c r="K24">
        <v>2</v>
      </c>
      <c r="L24">
        <v>0</v>
      </c>
      <c r="M24">
        <v>3</v>
      </c>
      <c r="N24" t="s">
        <v>15</v>
      </c>
      <c r="O24">
        <f xml:space="preserve"> 表1[[#This Row],[Thallium]]*0.6</f>
        <v>1.7999999999999998</v>
      </c>
    </row>
    <row r="25" spans="1:15" x14ac:dyDescent="0.3">
      <c r="A25">
        <v>47</v>
      </c>
      <c r="B25">
        <v>1</v>
      </c>
      <c r="C25">
        <v>4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>
        <v>0.1</v>
      </c>
      <c r="K25">
        <v>1</v>
      </c>
      <c r="L25">
        <v>0</v>
      </c>
      <c r="M25">
        <v>3</v>
      </c>
      <c r="N25" t="s">
        <v>15</v>
      </c>
      <c r="O25">
        <f xml:space="preserve"> 表1[[#This Row],[Thallium]]*0.6</f>
        <v>1.7999999999999998</v>
      </c>
    </row>
    <row r="26" spans="1:15" x14ac:dyDescent="0.3">
      <c r="A26">
        <v>54</v>
      </c>
      <c r="B26">
        <v>0</v>
      </c>
      <c r="C26">
        <v>2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>
        <v>0</v>
      </c>
      <c r="K26">
        <v>1</v>
      </c>
      <c r="L26">
        <v>1</v>
      </c>
      <c r="M26">
        <v>3</v>
      </c>
      <c r="N26" t="s">
        <v>15</v>
      </c>
      <c r="O26">
        <f xml:space="preserve"> 表1[[#This Row],[Thallium]]*0.6</f>
        <v>1.7999999999999998</v>
      </c>
    </row>
    <row r="27" spans="1:15" x14ac:dyDescent="0.3">
      <c r="A27">
        <v>48</v>
      </c>
      <c r="B27">
        <v>0</v>
      </c>
      <c r="C27">
        <v>3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>
        <v>0.2</v>
      </c>
      <c r="K27">
        <v>1</v>
      </c>
      <c r="L27">
        <v>0</v>
      </c>
      <c r="M27">
        <v>3</v>
      </c>
      <c r="N27" t="s">
        <v>15</v>
      </c>
      <c r="O27">
        <f xml:space="preserve"> 表1[[#This Row],[Thallium]]*0.6</f>
        <v>1.7999999999999998</v>
      </c>
    </row>
    <row r="28" spans="1:15" x14ac:dyDescent="0.3">
      <c r="A28">
        <v>46</v>
      </c>
      <c r="B28">
        <v>0</v>
      </c>
      <c r="C28">
        <v>4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>
        <v>0</v>
      </c>
      <c r="K28">
        <v>2</v>
      </c>
      <c r="L28">
        <v>0</v>
      </c>
      <c r="M28">
        <v>3</v>
      </c>
      <c r="N28" t="s">
        <v>15</v>
      </c>
      <c r="O28">
        <f xml:space="preserve"> 表1[[#This Row],[Thallium]]*0.6</f>
        <v>1.7999999999999998</v>
      </c>
    </row>
    <row r="29" spans="1:15" x14ac:dyDescent="0.3">
      <c r="A29">
        <v>51</v>
      </c>
      <c r="B29">
        <v>0</v>
      </c>
      <c r="C29">
        <v>3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>
        <v>0.6</v>
      </c>
      <c r="K29">
        <v>1</v>
      </c>
      <c r="L29">
        <v>0</v>
      </c>
      <c r="M29">
        <v>3</v>
      </c>
      <c r="N29" t="s">
        <v>15</v>
      </c>
      <c r="O29">
        <f xml:space="preserve"> 表1[[#This Row],[Thallium]]*0.6</f>
        <v>1.7999999999999998</v>
      </c>
    </row>
    <row r="30" spans="1:15" x14ac:dyDescent="0.3">
      <c r="A30">
        <v>58</v>
      </c>
      <c r="B30">
        <v>1</v>
      </c>
      <c r="C30">
        <v>3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>
        <v>2.5</v>
      </c>
      <c r="K30">
        <v>2</v>
      </c>
      <c r="L30">
        <v>1</v>
      </c>
      <c r="M30">
        <v>7</v>
      </c>
      <c r="N30" t="s">
        <v>14</v>
      </c>
      <c r="O30">
        <f xml:space="preserve"> 表1[[#This Row],[Thallium]]*0.6</f>
        <v>4.2</v>
      </c>
    </row>
    <row r="31" spans="1:15" x14ac:dyDescent="0.3">
      <c r="A31">
        <v>71</v>
      </c>
      <c r="B31">
        <v>0</v>
      </c>
      <c r="C31">
        <v>3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>
        <v>0</v>
      </c>
      <c r="K31">
        <v>1</v>
      </c>
      <c r="L31">
        <v>1</v>
      </c>
      <c r="M31">
        <v>3</v>
      </c>
      <c r="N31" t="s">
        <v>15</v>
      </c>
      <c r="O31">
        <f xml:space="preserve"> 表1[[#This Row],[Thallium]]*0.6</f>
        <v>1.7999999999999998</v>
      </c>
    </row>
    <row r="32" spans="1:15" x14ac:dyDescent="0.3">
      <c r="A32">
        <v>57</v>
      </c>
      <c r="B32">
        <v>1</v>
      </c>
      <c r="C32">
        <v>3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>
        <v>0.4</v>
      </c>
      <c r="K32">
        <v>2</v>
      </c>
      <c r="L32">
        <v>1</v>
      </c>
      <c r="M32">
        <v>7</v>
      </c>
      <c r="N32" t="s">
        <v>14</v>
      </c>
      <c r="O32">
        <f xml:space="preserve"> 表1[[#This Row],[Thallium]]*0.6</f>
        <v>4.2</v>
      </c>
    </row>
    <row r="33" spans="1:15" x14ac:dyDescent="0.3">
      <c r="A33">
        <v>66</v>
      </c>
      <c r="B33">
        <v>1</v>
      </c>
      <c r="C33">
        <v>4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>
        <v>2.2999999999999998</v>
      </c>
      <c r="K33">
        <v>1</v>
      </c>
      <c r="L33">
        <v>0</v>
      </c>
      <c r="M33">
        <v>6</v>
      </c>
      <c r="N33" t="s">
        <v>15</v>
      </c>
      <c r="O33">
        <f xml:space="preserve"> 表1[[#This Row],[Thallium]]*0.6</f>
        <v>3.5999999999999996</v>
      </c>
    </row>
    <row r="34" spans="1:15" x14ac:dyDescent="0.3">
      <c r="A34">
        <v>37</v>
      </c>
      <c r="B34">
        <v>0</v>
      </c>
      <c r="C34">
        <v>3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>
        <v>0</v>
      </c>
      <c r="K34">
        <v>1</v>
      </c>
      <c r="L34">
        <v>0</v>
      </c>
      <c r="M34">
        <v>3</v>
      </c>
      <c r="N34" t="s">
        <v>15</v>
      </c>
      <c r="O34">
        <f xml:space="preserve"> 表1[[#This Row],[Thallium]]*0.6</f>
        <v>1.7999999999999998</v>
      </c>
    </row>
    <row r="35" spans="1:15" x14ac:dyDescent="0.3">
      <c r="A35">
        <v>59</v>
      </c>
      <c r="B35">
        <v>1</v>
      </c>
      <c r="C35">
        <v>4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>
        <v>3.4</v>
      </c>
      <c r="K35">
        <v>3</v>
      </c>
      <c r="L35">
        <v>0</v>
      </c>
      <c r="M35">
        <v>7</v>
      </c>
      <c r="N35" t="s">
        <v>14</v>
      </c>
      <c r="O35">
        <f xml:space="preserve"> 表1[[#This Row],[Thallium]]*0.6</f>
        <v>4.2</v>
      </c>
    </row>
    <row r="36" spans="1:15" x14ac:dyDescent="0.3">
      <c r="A36">
        <v>50</v>
      </c>
      <c r="B36">
        <v>1</v>
      </c>
      <c r="C36">
        <v>4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>
        <v>0.9</v>
      </c>
      <c r="K36">
        <v>2</v>
      </c>
      <c r="L36">
        <v>0</v>
      </c>
      <c r="M36">
        <v>7</v>
      </c>
      <c r="N36" t="s">
        <v>14</v>
      </c>
      <c r="O36">
        <f xml:space="preserve"> 表1[[#This Row],[Thallium]]*0.6</f>
        <v>4.2</v>
      </c>
    </row>
    <row r="37" spans="1:15" x14ac:dyDescent="0.3">
      <c r="A37">
        <v>48</v>
      </c>
      <c r="B37">
        <v>1</v>
      </c>
      <c r="C37">
        <v>4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>
        <v>0</v>
      </c>
      <c r="K37">
        <v>1</v>
      </c>
      <c r="L37">
        <v>2</v>
      </c>
      <c r="M37">
        <v>7</v>
      </c>
      <c r="N37" t="s">
        <v>14</v>
      </c>
      <c r="O37">
        <f xml:space="preserve"> 表1[[#This Row],[Thallium]]*0.6</f>
        <v>4.2</v>
      </c>
    </row>
    <row r="38" spans="1:15" x14ac:dyDescent="0.3">
      <c r="A38">
        <v>61</v>
      </c>
      <c r="B38">
        <v>1</v>
      </c>
      <c r="C38">
        <v>4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>
        <v>1.9</v>
      </c>
      <c r="K38">
        <v>1</v>
      </c>
      <c r="L38">
        <v>1</v>
      </c>
      <c r="M38">
        <v>7</v>
      </c>
      <c r="N38" t="s">
        <v>14</v>
      </c>
      <c r="O38">
        <f xml:space="preserve"> 表1[[#This Row],[Thallium]]*0.6</f>
        <v>4.2</v>
      </c>
    </row>
    <row r="39" spans="1:15" x14ac:dyDescent="0.3">
      <c r="A39">
        <v>59</v>
      </c>
      <c r="B39">
        <v>1</v>
      </c>
      <c r="C39">
        <v>1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>
        <v>0</v>
      </c>
      <c r="K39">
        <v>1</v>
      </c>
      <c r="L39">
        <v>0</v>
      </c>
      <c r="M39">
        <v>3</v>
      </c>
      <c r="N39" t="s">
        <v>14</v>
      </c>
      <c r="O39">
        <f xml:space="preserve"> 表1[[#This Row],[Thallium]]*0.6</f>
        <v>1.7999999999999998</v>
      </c>
    </row>
    <row r="40" spans="1:15" x14ac:dyDescent="0.3">
      <c r="A40">
        <v>42</v>
      </c>
      <c r="B40">
        <v>1</v>
      </c>
      <c r="C40">
        <v>3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>
        <v>0</v>
      </c>
      <c r="K40">
        <v>1</v>
      </c>
      <c r="L40">
        <v>0</v>
      </c>
      <c r="M40">
        <v>3</v>
      </c>
      <c r="N40" t="s">
        <v>15</v>
      </c>
      <c r="O40">
        <f xml:space="preserve"> 表1[[#This Row],[Thallium]]*0.6</f>
        <v>1.7999999999999998</v>
      </c>
    </row>
    <row r="41" spans="1:15" x14ac:dyDescent="0.3">
      <c r="A41">
        <v>48</v>
      </c>
      <c r="B41">
        <v>1</v>
      </c>
      <c r="C41">
        <v>4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>
        <v>0</v>
      </c>
      <c r="K41">
        <v>1</v>
      </c>
      <c r="L41">
        <v>0</v>
      </c>
      <c r="M41">
        <v>3</v>
      </c>
      <c r="N41" t="s">
        <v>15</v>
      </c>
      <c r="O41">
        <f xml:space="preserve"> 表1[[#This Row],[Thallium]]*0.6</f>
        <v>1.7999999999999998</v>
      </c>
    </row>
    <row r="42" spans="1:15" x14ac:dyDescent="0.3">
      <c r="A42">
        <v>40</v>
      </c>
      <c r="B42">
        <v>1</v>
      </c>
      <c r="C42">
        <v>4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>
        <v>0</v>
      </c>
      <c r="K42">
        <v>1</v>
      </c>
      <c r="L42">
        <v>0</v>
      </c>
      <c r="M42">
        <v>7</v>
      </c>
      <c r="N42" t="s">
        <v>14</v>
      </c>
      <c r="O42">
        <f xml:space="preserve"> 表1[[#This Row],[Thallium]]*0.6</f>
        <v>4.2</v>
      </c>
    </row>
    <row r="43" spans="1:15" x14ac:dyDescent="0.3">
      <c r="A43">
        <v>62</v>
      </c>
      <c r="B43">
        <v>0</v>
      </c>
      <c r="C43">
        <v>4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>
        <v>0</v>
      </c>
      <c r="K43">
        <v>1</v>
      </c>
      <c r="L43">
        <v>0</v>
      </c>
      <c r="M43">
        <v>3</v>
      </c>
      <c r="N43" t="s">
        <v>15</v>
      </c>
      <c r="O43">
        <f xml:space="preserve"> 表1[[#This Row],[Thallium]]*0.6</f>
        <v>1.7999999999999998</v>
      </c>
    </row>
    <row r="44" spans="1:15" x14ac:dyDescent="0.3">
      <c r="A44">
        <v>44</v>
      </c>
      <c r="B44">
        <v>1</v>
      </c>
      <c r="C44">
        <v>3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>
        <v>0.4</v>
      </c>
      <c r="K44">
        <v>1</v>
      </c>
      <c r="L44">
        <v>0</v>
      </c>
      <c r="M44">
        <v>3</v>
      </c>
      <c r="N44" t="s">
        <v>15</v>
      </c>
      <c r="O44">
        <f xml:space="preserve"> 表1[[#This Row],[Thallium]]*0.6</f>
        <v>1.7999999999999998</v>
      </c>
    </row>
    <row r="45" spans="1:15" x14ac:dyDescent="0.3">
      <c r="A45">
        <v>46</v>
      </c>
      <c r="B45">
        <v>1</v>
      </c>
      <c r="C45">
        <v>2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>
        <v>0</v>
      </c>
      <c r="K45">
        <v>1</v>
      </c>
      <c r="L45">
        <v>0</v>
      </c>
      <c r="M45">
        <v>7</v>
      </c>
      <c r="N45" t="s">
        <v>15</v>
      </c>
      <c r="O45">
        <f xml:space="preserve"> 表1[[#This Row],[Thallium]]*0.6</f>
        <v>4.2</v>
      </c>
    </row>
    <row r="46" spans="1:15" x14ac:dyDescent="0.3">
      <c r="A46">
        <v>59</v>
      </c>
      <c r="B46">
        <v>1</v>
      </c>
      <c r="C46">
        <v>3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>
        <v>2.2000000000000002</v>
      </c>
      <c r="K46">
        <v>2</v>
      </c>
      <c r="L46">
        <v>1</v>
      </c>
      <c r="M46">
        <v>6</v>
      </c>
      <c r="N46" t="s">
        <v>14</v>
      </c>
      <c r="O46">
        <f xml:space="preserve"> 表1[[#This Row],[Thallium]]*0.6</f>
        <v>3.5999999999999996</v>
      </c>
    </row>
    <row r="47" spans="1:15" x14ac:dyDescent="0.3">
      <c r="A47">
        <v>58</v>
      </c>
      <c r="B47">
        <v>1</v>
      </c>
      <c r="C47">
        <v>3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>
        <v>0</v>
      </c>
      <c r="K47">
        <v>1</v>
      </c>
      <c r="L47">
        <v>0</v>
      </c>
      <c r="M47">
        <v>3</v>
      </c>
      <c r="N47" t="s">
        <v>15</v>
      </c>
      <c r="O47">
        <f xml:space="preserve"> 表1[[#This Row],[Thallium]]*0.6</f>
        <v>1.7999999999999998</v>
      </c>
    </row>
    <row r="48" spans="1:15" x14ac:dyDescent="0.3">
      <c r="A48">
        <v>49</v>
      </c>
      <c r="B48">
        <v>1</v>
      </c>
      <c r="C48">
        <v>3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>
        <v>0.8</v>
      </c>
      <c r="K48">
        <v>1</v>
      </c>
      <c r="L48">
        <v>3</v>
      </c>
      <c r="M48">
        <v>3</v>
      </c>
      <c r="N48" t="s">
        <v>14</v>
      </c>
      <c r="O48">
        <f xml:space="preserve"> 表1[[#This Row],[Thallium]]*0.6</f>
        <v>1.7999999999999998</v>
      </c>
    </row>
    <row r="49" spans="1:15" x14ac:dyDescent="0.3">
      <c r="A49">
        <v>44</v>
      </c>
      <c r="B49">
        <v>1</v>
      </c>
      <c r="C49">
        <v>4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>
        <v>0</v>
      </c>
      <c r="K49">
        <v>1</v>
      </c>
      <c r="L49">
        <v>1</v>
      </c>
      <c r="M49">
        <v>3</v>
      </c>
      <c r="N49" t="s">
        <v>14</v>
      </c>
      <c r="O49">
        <f xml:space="preserve"> 表1[[#This Row],[Thallium]]*0.6</f>
        <v>1.7999999999999998</v>
      </c>
    </row>
    <row r="50" spans="1:15" x14ac:dyDescent="0.3">
      <c r="A50">
        <v>66</v>
      </c>
      <c r="B50">
        <v>1</v>
      </c>
      <c r="C50">
        <v>2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>
        <v>0</v>
      </c>
      <c r="K50">
        <v>2</v>
      </c>
      <c r="L50">
        <v>3</v>
      </c>
      <c r="M50">
        <v>6</v>
      </c>
      <c r="N50" t="s">
        <v>14</v>
      </c>
      <c r="O50">
        <f xml:space="preserve"> 表1[[#This Row],[Thallium]]*0.6</f>
        <v>3.5999999999999996</v>
      </c>
    </row>
    <row r="51" spans="1:15" x14ac:dyDescent="0.3">
      <c r="A51">
        <v>65</v>
      </c>
      <c r="B51">
        <v>0</v>
      </c>
      <c r="C51">
        <v>4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>
        <v>1</v>
      </c>
      <c r="K51">
        <v>2</v>
      </c>
      <c r="L51">
        <v>3</v>
      </c>
      <c r="M51">
        <v>7</v>
      </c>
      <c r="N51" t="s">
        <v>14</v>
      </c>
      <c r="O51">
        <f xml:space="preserve"> 表1[[#This Row],[Thallium]]*0.6</f>
        <v>4.2</v>
      </c>
    </row>
    <row r="52" spans="1:15" x14ac:dyDescent="0.3">
      <c r="A52">
        <v>42</v>
      </c>
      <c r="B52">
        <v>1</v>
      </c>
      <c r="C52">
        <v>4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>
        <v>1.8</v>
      </c>
      <c r="K52">
        <v>2</v>
      </c>
      <c r="L52">
        <v>0</v>
      </c>
      <c r="M52">
        <v>6</v>
      </c>
      <c r="N52" t="s">
        <v>14</v>
      </c>
      <c r="O52">
        <f xml:space="preserve"> 表1[[#This Row],[Thallium]]*0.6</f>
        <v>3.5999999999999996</v>
      </c>
    </row>
    <row r="53" spans="1:15" x14ac:dyDescent="0.3">
      <c r="A53">
        <v>52</v>
      </c>
      <c r="B53">
        <v>1</v>
      </c>
      <c r="C53">
        <v>2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>
        <v>0</v>
      </c>
      <c r="K53">
        <v>1</v>
      </c>
      <c r="L53">
        <v>0</v>
      </c>
      <c r="M53">
        <v>3</v>
      </c>
      <c r="N53" t="s">
        <v>15</v>
      </c>
      <c r="O53">
        <f xml:space="preserve"> 表1[[#This Row],[Thallium]]*0.6</f>
        <v>1.7999999999999998</v>
      </c>
    </row>
    <row r="54" spans="1:15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 t="s">
        <v>15</v>
      </c>
      <c r="O54">
        <f xml:space="preserve"> 表1[[#This Row],[Thallium]]*0.6</f>
        <v>1.7999999999999998</v>
      </c>
    </row>
    <row r="55" spans="1:15" x14ac:dyDescent="0.3">
      <c r="A55">
        <v>63</v>
      </c>
      <c r="B55">
        <v>0</v>
      </c>
      <c r="C55">
        <v>2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>
        <v>0</v>
      </c>
      <c r="K55">
        <v>1</v>
      </c>
      <c r="L55">
        <v>2</v>
      </c>
      <c r="M55">
        <v>3</v>
      </c>
      <c r="N55" t="s">
        <v>15</v>
      </c>
      <c r="O55">
        <f xml:space="preserve"> 表1[[#This Row],[Thallium]]*0.6</f>
        <v>1.7999999999999998</v>
      </c>
    </row>
    <row r="56" spans="1:15" x14ac:dyDescent="0.3">
      <c r="A56">
        <v>45</v>
      </c>
      <c r="B56">
        <v>0</v>
      </c>
      <c r="C56">
        <v>2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>
        <v>0.6</v>
      </c>
      <c r="K56">
        <v>2</v>
      </c>
      <c r="L56">
        <v>0</v>
      </c>
      <c r="M56">
        <v>3</v>
      </c>
      <c r="N56" t="s">
        <v>15</v>
      </c>
      <c r="O56">
        <f xml:space="preserve"> 表1[[#This Row],[Thallium]]*0.6</f>
        <v>1.7999999999999998</v>
      </c>
    </row>
    <row r="57" spans="1:15" x14ac:dyDescent="0.3">
      <c r="A57">
        <v>41</v>
      </c>
      <c r="B57">
        <v>0</v>
      </c>
      <c r="C57">
        <v>2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>
        <v>0</v>
      </c>
      <c r="K57">
        <v>1</v>
      </c>
      <c r="L57">
        <v>1</v>
      </c>
      <c r="M57">
        <v>3</v>
      </c>
      <c r="N57" t="s">
        <v>15</v>
      </c>
      <c r="O57">
        <f xml:space="preserve"> 表1[[#This Row],[Thallium]]*0.6</f>
        <v>1.7999999999999998</v>
      </c>
    </row>
    <row r="58" spans="1:15" x14ac:dyDescent="0.3">
      <c r="A58">
        <v>61</v>
      </c>
      <c r="B58">
        <v>1</v>
      </c>
      <c r="C58">
        <v>4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>
        <v>3.6</v>
      </c>
      <c r="K58">
        <v>2</v>
      </c>
      <c r="L58">
        <v>1</v>
      </c>
      <c r="M58">
        <v>3</v>
      </c>
      <c r="N58" t="s">
        <v>14</v>
      </c>
      <c r="O58">
        <f xml:space="preserve"> 表1[[#This Row],[Thallium]]*0.6</f>
        <v>1.7999999999999998</v>
      </c>
    </row>
    <row r="59" spans="1:15" x14ac:dyDescent="0.3">
      <c r="A59">
        <v>60</v>
      </c>
      <c r="B59">
        <v>0</v>
      </c>
      <c r="C59">
        <v>3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>
        <v>0</v>
      </c>
      <c r="K59">
        <v>1</v>
      </c>
      <c r="L59">
        <v>0</v>
      </c>
      <c r="M59">
        <v>3</v>
      </c>
      <c r="N59" t="s">
        <v>15</v>
      </c>
      <c r="O59">
        <f xml:space="preserve"> 表1[[#This Row],[Thallium]]*0.6</f>
        <v>1.7999999999999998</v>
      </c>
    </row>
    <row r="60" spans="1:15" x14ac:dyDescent="0.3">
      <c r="A60">
        <v>59</v>
      </c>
      <c r="B60">
        <v>0</v>
      </c>
      <c r="C60">
        <v>4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>
        <v>0</v>
      </c>
      <c r="K60">
        <v>2</v>
      </c>
      <c r="L60">
        <v>0</v>
      </c>
      <c r="M60">
        <v>3</v>
      </c>
      <c r="N60" t="s">
        <v>14</v>
      </c>
      <c r="O60">
        <f xml:space="preserve"> 表1[[#This Row],[Thallium]]*0.6</f>
        <v>1.7999999999999998</v>
      </c>
    </row>
    <row r="61" spans="1:15" x14ac:dyDescent="0.3">
      <c r="A61">
        <v>62</v>
      </c>
      <c r="B61">
        <v>1</v>
      </c>
      <c r="C61">
        <v>2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>
        <v>1.4</v>
      </c>
      <c r="K61">
        <v>2</v>
      </c>
      <c r="L61">
        <v>1</v>
      </c>
      <c r="M61">
        <v>7</v>
      </c>
      <c r="N61" t="s">
        <v>14</v>
      </c>
      <c r="O61">
        <f xml:space="preserve"> 表1[[#This Row],[Thallium]]*0.6</f>
        <v>4.2</v>
      </c>
    </row>
    <row r="62" spans="1:15" x14ac:dyDescent="0.3">
      <c r="A62">
        <v>57</v>
      </c>
      <c r="B62">
        <v>1</v>
      </c>
      <c r="C62">
        <v>3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>
        <v>0.2</v>
      </c>
      <c r="K62">
        <v>1</v>
      </c>
      <c r="L62">
        <v>1</v>
      </c>
      <c r="M62">
        <v>7</v>
      </c>
      <c r="N62" t="s">
        <v>15</v>
      </c>
      <c r="O62">
        <f xml:space="preserve"> 表1[[#This Row],[Thallium]]*0.6</f>
        <v>4.2</v>
      </c>
    </row>
    <row r="63" spans="1:15" x14ac:dyDescent="0.3">
      <c r="A63">
        <v>51</v>
      </c>
      <c r="B63">
        <v>0</v>
      </c>
      <c r="C63">
        <v>4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>
        <v>1.2</v>
      </c>
      <c r="K63">
        <v>2</v>
      </c>
      <c r="L63">
        <v>0</v>
      </c>
      <c r="M63">
        <v>7</v>
      </c>
      <c r="N63" t="s">
        <v>14</v>
      </c>
      <c r="O63">
        <f xml:space="preserve"> 表1[[#This Row],[Thallium]]*0.6</f>
        <v>4.2</v>
      </c>
    </row>
    <row r="64" spans="1:15" x14ac:dyDescent="0.3">
      <c r="A64">
        <v>44</v>
      </c>
      <c r="B64">
        <v>1</v>
      </c>
      <c r="C64">
        <v>3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>
        <v>0</v>
      </c>
      <c r="K64">
        <v>1</v>
      </c>
      <c r="L64">
        <v>0</v>
      </c>
      <c r="M64">
        <v>3</v>
      </c>
      <c r="N64" t="s">
        <v>15</v>
      </c>
      <c r="O64">
        <f xml:space="preserve"> 表1[[#This Row],[Thallium]]*0.6</f>
        <v>1.7999999999999998</v>
      </c>
    </row>
    <row r="65" spans="1:15" x14ac:dyDescent="0.3">
      <c r="A65">
        <v>60</v>
      </c>
      <c r="B65">
        <v>0</v>
      </c>
      <c r="C65">
        <v>1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>
        <v>0.9</v>
      </c>
      <c r="K65">
        <v>1</v>
      </c>
      <c r="L65">
        <v>0</v>
      </c>
      <c r="M65">
        <v>3</v>
      </c>
      <c r="N65" t="s">
        <v>15</v>
      </c>
      <c r="O65">
        <f xml:space="preserve"> 表1[[#This Row],[Thallium]]*0.6</f>
        <v>1.7999999999999998</v>
      </c>
    </row>
    <row r="66" spans="1:15" x14ac:dyDescent="0.3">
      <c r="A66">
        <v>63</v>
      </c>
      <c r="B66">
        <v>1</v>
      </c>
      <c r="C66">
        <v>1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>
        <v>2.2999999999999998</v>
      </c>
      <c r="K66">
        <v>3</v>
      </c>
      <c r="L66">
        <v>0</v>
      </c>
      <c r="M66">
        <v>6</v>
      </c>
      <c r="N66" t="s">
        <v>15</v>
      </c>
      <c r="O66">
        <f xml:space="preserve"> 表1[[#This Row],[Thallium]]*0.6</f>
        <v>3.5999999999999996</v>
      </c>
    </row>
    <row r="67" spans="1:15" x14ac:dyDescent="0.3">
      <c r="A67">
        <v>57</v>
      </c>
      <c r="B67">
        <v>1</v>
      </c>
      <c r="C67">
        <v>4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>
        <v>0.6</v>
      </c>
      <c r="K67">
        <v>2</v>
      </c>
      <c r="L67">
        <v>1</v>
      </c>
      <c r="M67">
        <v>6</v>
      </c>
      <c r="N67" t="s">
        <v>14</v>
      </c>
      <c r="O67">
        <f xml:space="preserve"> 表1[[#This Row],[Thallium]]*0.6</f>
        <v>3.5999999999999996</v>
      </c>
    </row>
    <row r="68" spans="1:15" x14ac:dyDescent="0.3">
      <c r="A68">
        <v>51</v>
      </c>
      <c r="B68">
        <v>1</v>
      </c>
      <c r="C68">
        <v>4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>
        <v>0</v>
      </c>
      <c r="K68">
        <v>1</v>
      </c>
      <c r="L68">
        <v>0</v>
      </c>
      <c r="M68">
        <v>3</v>
      </c>
      <c r="N68" t="s">
        <v>15</v>
      </c>
      <c r="O68">
        <f xml:space="preserve"> 表1[[#This Row],[Thallium]]*0.6</f>
        <v>1.7999999999999998</v>
      </c>
    </row>
    <row r="69" spans="1:15" x14ac:dyDescent="0.3">
      <c r="A69">
        <v>58</v>
      </c>
      <c r="B69">
        <v>0</v>
      </c>
      <c r="C69">
        <v>2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>
        <v>0</v>
      </c>
      <c r="K69">
        <v>1</v>
      </c>
      <c r="L69">
        <v>2</v>
      </c>
      <c r="M69">
        <v>3</v>
      </c>
      <c r="N69" t="s">
        <v>14</v>
      </c>
      <c r="O69">
        <f xml:space="preserve"> 表1[[#This Row],[Thallium]]*0.6</f>
        <v>1.7999999999999998</v>
      </c>
    </row>
    <row r="70" spans="1:15" x14ac:dyDescent="0.3">
      <c r="A70">
        <v>44</v>
      </c>
      <c r="B70">
        <v>0</v>
      </c>
      <c r="C70">
        <v>3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>
        <v>0.3</v>
      </c>
      <c r="K70">
        <v>2</v>
      </c>
      <c r="L70">
        <v>1</v>
      </c>
      <c r="M70">
        <v>3</v>
      </c>
      <c r="N70" t="s">
        <v>15</v>
      </c>
      <c r="O70">
        <f xml:space="preserve"> 表1[[#This Row],[Thallium]]*0.6</f>
        <v>1.7999999999999998</v>
      </c>
    </row>
    <row r="71" spans="1:15" x14ac:dyDescent="0.3">
      <c r="A71">
        <v>47</v>
      </c>
      <c r="B71">
        <v>1</v>
      </c>
      <c r="C71">
        <v>3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>
        <v>0</v>
      </c>
      <c r="K71">
        <v>1</v>
      </c>
      <c r="L71">
        <v>0</v>
      </c>
      <c r="M71">
        <v>3</v>
      </c>
      <c r="N71" t="s">
        <v>14</v>
      </c>
      <c r="O71">
        <f xml:space="preserve"> 表1[[#This Row],[Thallium]]*0.6</f>
        <v>1.7999999999999998</v>
      </c>
    </row>
    <row r="72" spans="1:15" x14ac:dyDescent="0.3">
      <c r="A72">
        <v>61</v>
      </c>
      <c r="B72">
        <v>1</v>
      </c>
      <c r="C72">
        <v>4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>
        <v>3.6</v>
      </c>
      <c r="K72">
        <v>2</v>
      </c>
      <c r="L72">
        <v>1</v>
      </c>
      <c r="M72">
        <v>7</v>
      </c>
      <c r="N72" t="s">
        <v>14</v>
      </c>
      <c r="O72">
        <f xml:space="preserve"> 表1[[#This Row],[Thallium]]*0.6</f>
        <v>4.2</v>
      </c>
    </row>
    <row r="73" spans="1:15" x14ac:dyDescent="0.3">
      <c r="A73">
        <v>57</v>
      </c>
      <c r="B73">
        <v>0</v>
      </c>
      <c r="C73">
        <v>4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>
        <v>0.6</v>
      </c>
      <c r="K73">
        <v>1</v>
      </c>
      <c r="L73">
        <v>0</v>
      </c>
      <c r="M73">
        <v>3</v>
      </c>
      <c r="N73" t="s">
        <v>15</v>
      </c>
      <c r="O73">
        <f xml:space="preserve"> 表1[[#This Row],[Thallium]]*0.6</f>
        <v>1.7999999999999998</v>
      </c>
    </row>
    <row r="74" spans="1:15" x14ac:dyDescent="0.3">
      <c r="A74">
        <v>70</v>
      </c>
      <c r="B74">
        <v>1</v>
      </c>
      <c r="C74">
        <v>2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>
        <v>0</v>
      </c>
      <c r="K74">
        <v>1</v>
      </c>
      <c r="L74">
        <v>0</v>
      </c>
      <c r="M74">
        <v>3</v>
      </c>
      <c r="N74" t="s">
        <v>15</v>
      </c>
      <c r="O74">
        <f xml:space="preserve"> 表1[[#This Row],[Thallium]]*0.6</f>
        <v>1.7999999999999998</v>
      </c>
    </row>
    <row r="75" spans="1:15" x14ac:dyDescent="0.3">
      <c r="A75">
        <v>76</v>
      </c>
      <c r="B75">
        <v>0</v>
      </c>
      <c r="C75">
        <v>3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>
        <v>1.1000000000000001</v>
      </c>
      <c r="K75">
        <v>2</v>
      </c>
      <c r="L75">
        <v>0</v>
      </c>
      <c r="M75">
        <v>3</v>
      </c>
      <c r="N75" t="s">
        <v>15</v>
      </c>
      <c r="O75">
        <f xml:space="preserve"> 表1[[#This Row],[Thallium]]*0.6</f>
        <v>1.7999999999999998</v>
      </c>
    </row>
    <row r="76" spans="1:15" x14ac:dyDescent="0.3">
      <c r="A76">
        <v>67</v>
      </c>
      <c r="B76">
        <v>0</v>
      </c>
      <c r="C76">
        <v>4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>
        <v>0.3</v>
      </c>
      <c r="K76">
        <v>1</v>
      </c>
      <c r="L76">
        <v>2</v>
      </c>
      <c r="M76">
        <v>3</v>
      </c>
      <c r="N76" t="s">
        <v>15</v>
      </c>
      <c r="O76">
        <f xml:space="preserve"> 表1[[#This Row],[Thallium]]*0.6</f>
        <v>1.7999999999999998</v>
      </c>
    </row>
    <row r="77" spans="1:15" x14ac:dyDescent="0.3">
      <c r="A77">
        <v>45</v>
      </c>
      <c r="B77">
        <v>1</v>
      </c>
      <c r="C77">
        <v>4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>
        <v>0</v>
      </c>
      <c r="K77">
        <v>2</v>
      </c>
      <c r="L77">
        <v>3</v>
      </c>
      <c r="M77">
        <v>7</v>
      </c>
      <c r="N77" t="s">
        <v>14</v>
      </c>
      <c r="O77">
        <f xml:space="preserve"> 表1[[#This Row],[Thallium]]*0.6</f>
        <v>4.2</v>
      </c>
    </row>
    <row r="78" spans="1:15" x14ac:dyDescent="0.3">
      <c r="A78">
        <v>45</v>
      </c>
      <c r="B78">
        <v>1</v>
      </c>
      <c r="C78">
        <v>4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>
        <v>3</v>
      </c>
      <c r="K78">
        <v>2</v>
      </c>
      <c r="L78">
        <v>0</v>
      </c>
      <c r="M78">
        <v>3</v>
      </c>
      <c r="N78" t="s">
        <v>15</v>
      </c>
      <c r="O78">
        <f xml:space="preserve"> 表1[[#This Row],[Thallium]]*0.6</f>
        <v>1.7999999999999998</v>
      </c>
    </row>
    <row r="79" spans="1:15" x14ac:dyDescent="0.3">
      <c r="A79">
        <v>39</v>
      </c>
      <c r="B79">
        <v>0</v>
      </c>
      <c r="C79">
        <v>3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>
        <v>0</v>
      </c>
      <c r="K79">
        <v>1</v>
      </c>
      <c r="L79">
        <v>0</v>
      </c>
      <c r="M79">
        <v>3</v>
      </c>
      <c r="N79" t="s">
        <v>15</v>
      </c>
      <c r="O79">
        <f xml:space="preserve"> 表1[[#This Row],[Thallium]]*0.6</f>
        <v>1.7999999999999998</v>
      </c>
    </row>
    <row r="80" spans="1:15" x14ac:dyDescent="0.3">
      <c r="A80">
        <v>42</v>
      </c>
      <c r="B80">
        <v>0</v>
      </c>
      <c r="C80">
        <v>3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>
        <v>0</v>
      </c>
      <c r="K80">
        <v>2</v>
      </c>
      <c r="L80">
        <v>0</v>
      </c>
      <c r="M80">
        <v>3</v>
      </c>
      <c r="N80" t="s">
        <v>15</v>
      </c>
      <c r="O80">
        <f xml:space="preserve"> 表1[[#This Row],[Thallium]]*0.6</f>
        <v>1.7999999999999998</v>
      </c>
    </row>
    <row r="81" spans="1:15" x14ac:dyDescent="0.3">
      <c r="A81">
        <v>56</v>
      </c>
      <c r="B81">
        <v>1</v>
      </c>
      <c r="C81">
        <v>2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>
        <v>0.8</v>
      </c>
      <c r="K81">
        <v>1</v>
      </c>
      <c r="L81">
        <v>0</v>
      </c>
      <c r="M81">
        <v>3</v>
      </c>
      <c r="N81" t="s">
        <v>15</v>
      </c>
      <c r="O81">
        <f xml:space="preserve"> 表1[[#This Row],[Thallium]]*0.6</f>
        <v>1.7999999999999998</v>
      </c>
    </row>
    <row r="82" spans="1:15" x14ac:dyDescent="0.3">
      <c r="A82">
        <v>58</v>
      </c>
      <c r="B82">
        <v>1</v>
      </c>
      <c r="C82">
        <v>4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>
        <v>2</v>
      </c>
      <c r="K82">
        <v>2</v>
      </c>
      <c r="L82">
        <v>1</v>
      </c>
      <c r="M82">
        <v>7</v>
      </c>
      <c r="N82" t="s">
        <v>14</v>
      </c>
      <c r="O82">
        <f xml:space="preserve"> 表1[[#This Row],[Thallium]]*0.6</f>
        <v>4.2</v>
      </c>
    </row>
    <row r="83" spans="1:15" x14ac:dyDescent="0.3">
      <c r="A83">
        <v>35</v>
      </c>
      <c r="B83">
        <v>1</v>
      </c>
      <c r="C83">
        <v>4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>
        <v>1.6</v>
      </c>
      <c r="K83">
        <v>2</v>
      </c>
      <c r="L83">
        <v>0</v>
      </c>
      <c r="M83">
        <v>7</v>
      </c>
      <c r="N83" t="s">
        <v>14</v>
      </c>
      <c r="O83">
        <f xml:space="preserve"> 表1[[#This Row],[Thallium]]*0.6</f>
        <v>4.2</v>
      </c>
    </row>
    <row r="84" spans="1:15" x14ac:dyDescent="0.3">
      <c r="A84">
        <v>58</v>
      </c>
      <c r="B84">
        <v>1</v>
      </c>
      <c r="C84">
        <v>4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>
        <v>0.8</v>
      </c>
      <c r="K84">
        <v>1</v>
      </c>
      <c r="L84">
        <v>0</v>
      </c>
      <c r="M84">
        <v>7</v>
      </c>
      <c r="N84" t="s">
        <v>14</v>
      </c>
      <c r="O84">
        <f xml:space="preserve"> 表1[[#This Row],[Thallium]]*0.6</f>
        <v>4.2</v>
      </c>
    </row>
    <row r="85" spans="1:15" x14ac:dyDescent="0.3">
      <c r="A85">
        <v>41</v>
      </c>
      <c r="B85">
        <v>1</v>
      </c>
      <c r="C85">
        <v>3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>
        <v>2</v>
      </c>
      <c r="K85">
        <v>2</v>
      </c>
      <c r="L85">
        <v>0</v>
      </c>
      <c r="M85">
        <v>3</v>
      </c>
      <c r="N85" t="s">
        <v>15</v>
      </c>
      <c r="O85">
        <f xml:space="preserve"> 表1[[#This Row],[Thallium]]*0.6</f>
        <v>1.7999999999999998</v>
      </c>
    </row>
    <row r="86" spans="1:15" x14ac:dyDescent="0.3">
      <c r="A86">
        <v>57</v>
      </c>
      <c r="B86">
        <v>1</v>
      </c>
      <c r="C86">
        <v>4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>
        <v>1.5</v>
      </c>
      <c r="K86">
        <v>2</v>
      </c>
      <c r="L86">
        <v>0</v>
      </c>
      <c r="M86">
        <v>6</v>
      </c>
      <c r="N86" t="s">
        <v>15</v>
      </c>
      <c r="O86">
        <f xml:space="preserve"> 表1[[#This Row],[Thallium]]*0.6</f>
        <v>3.5999999999999996</v>
      </c>
    </row>
    <row r="87" spans="1:15" x14ac:dyDescent="0.3">
      <c r="A87">
        <v>42</v>
      </c>
      <c r="B87">
        <v>1</v>
      </c>
      <c r="C87">
        <v>1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>
        <v>0.8</v>
      </c>
      <c r="K87">
        <v>1</v>
      </c>
      <c r="L87">
        <v>2</v>
      </c>
      <c r="M87">
        <v>3</v>
      </c>
      <c r="N87" t="s">
        <v>15</v>
      </c>
      <c r="O87">
        <f xml:space="preserve"> 表1[[#This Row],[Thallium]]*0.6</f>
        <v>1.7999999999999998</v>
      </c>
    </row>
    <row r="88" spans="1:15" x14ac:dyDescent="0.3">
      <c r="A88">
        <v>62</v>
      </c>
      <c r="B88">
        <v>1</v>
      </c>
      <c r="C88">
        <v>2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>
        <v>0</v>
      </c>
      <c r="K88">
        <v>1</v>
      </c>
      <c r="L88">
        <v>0</v>
      </c>
      <c r="M88">
        <v>3</v>
      </c>
      <c r="N88" t="s">
        <v>15</v>
      </c>
      <c r="O88">
        <f xml:space="preserve"> 表1[[#This Row],[Thallium]]*0.6</f>
        <v>1.7999999999999998</v>
      </c>
    </row>
    <row r="89" spans="1:15" x14ac:dyDescent="0.3">
      <c r="A89">
        <v>59</v>
      </c>
      <c r="B89">
        <v>1</v>
      </c>
      <c r="C89">
        <v>1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>
        <v>4.2</v>
      </c>
      <c r="K89">
        <v>3</v>
      </c>
      <c r="L89">
        <v>0</v>
      </c>
      <c r="M89">
        <v>7</v>
      </c>
      <c r="N89" t="s">
        <v>15</v>
      </c>
      <c r="O89">
        <f xml:space="preserve"> 表1[[#This Row],[Thallium]]*0.6</f>
        <v>4.2</v>
      </c>
    </row>
    <row r="90" spans="1:15" x14ac:dyDescent="0.3">
      <c r="A90">
        <v>41</v>
      </c>
      <c r="B90">
        <v>0</v>
      </c>
      <c r="C90">
        <v>2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>
        <v>0</v>
      </c>
      <c r="K90">
        <v>1</v>
      </c>
      <c r="L90">
        <v>0</v>
      </c>
      <c r="M90">
        <v>3</v>
      </c>
      <c r="N90" t="s">
        <v>15</v>
      </c>
      <c r="O90">
        <f xml:space="preserve"> 表1[[#This Row],[Thallium]]*0.6</f>
        <v>1.7999999999999998</v>
      </c>
    </row>
    <row r="91" spans="1:15" x14ac:dyDescent="0.3">
      <c r="A91">
        <v>50</v>
      </c>
      <c r="B91">
        <v>1</v>
      </c>
      <c r="C91">
        <v>4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>
        <v>2.6</v>
      </c>
      <c r="K91">
        <v>2</v>
      </c>
      <c r="L91">
        <v>0</v>
      </c>
      <c r="M91">
        <v>7</v>
      </c>
      <c r="N91" t="s">
        <v>14</v>
      </c>
      <c r="O91">
        <f xml:space="preserve"> 表1[[#This Row],[Thallium]]*0.6</f>
        <v>4.2</v>
      </c>
    </row>
    <row r="92" spans="1:15" x14ac:dyDescent="0.3">
      <c r="A92">
        <v>59</v>
      </c>
      <c r="B92">
        <v>1</v>
      </c>
      <c r="C92">
        <v>2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>
        <v>0</v>
      </c>
      <c r="K92">
        <v>1</v>
      </c>
      <c r="L92">
        <v>0</v>
      </c>
      <c r="M92">
        <v>3</v>
      </c>
      <c r="N92" t="s">
        <v>15</v>
      </c>
      <c r="O92">
        <f xml:space="preserve"> 表1[[#This Row],[Thallium]]*0.6</f>
        <v>1.7999999999999998</v>
      </c>
    </row>
    <row r="93" spans="1:15" x14ac:dyDescent="0.3">
      <c r="A93">
        <v>61</v>
      </c>
      <c r="B93">
        <v>0</v>
      </c>
      <c r="C93">
        <v>4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>
        <v>0</v>
      </c>
      <c r="K93">
        <v>1</v>
      </c>
      <c r="L93">
        <v>0</v>
      </c>
      <c r="M93">
        <v>3</v>
      </c>
      <c r="N93" t="s">
        <v>14</v>
      </c>
      <c r="O93">
        <f xml:space="preserve"> 表1[[#This Row],[Thallium]]*0.6</f>
        <v>1.7999999999999998</v>
      </c>
    </row>
    <row r="94" spans="1:15" x14ac:dyDescent="0.3">
      <c r="A94">
        <v>54</v>
      </c>
      <c r="B94">
        <v>1</v>
      </c>
      <c r="C94">
        <v>4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>
        <v>2.2000000000000002</v>
      </c>
      <c r="K94">
        <v>2</v>
      </c>
      <c r="L94">
        <v>1</v>
      </c>
      <c r="M94">
        <v>7</v>
      </c>
      <c r="N94" t="s">
        <v>14</v>
      </c>
      <c r="O94">
        <f xml:space="preserve"> 表1[[#This Row],[Thallium]]*0.6</f>
        <v>4.2</v>
      </c>
    </row>
    <row r="95" spans="1:15" x14ac:dyDescent="0.3">
      <c r="A95">
        <v>54</v>
      </c>
      <c r="B95">
        <v>1</v>
      </c>
      <c r="C95">
        <v>4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>
        <v>0</v>
      </c>
      <c r="K95">
        <v>2</v>
      </c>
      <c r="L95">
        <v>1</v>
      </c>
      <c r="M95">
        <v>3</v>
      </c>
      <c r="N95" t="s">
        <v>14</v>
      </c>
      <c r="O95">
        <f xml:space="preserve"> 表1[[#This Row],[Thallium]]*0.6</f>
        <v>1.7999999999999998</v>
      </c>
    </row>
    <row r="96" spans="1:15" x14ac:dyDescent="0.3">
      <c r="A96">
        <v>52</v>
      </c>
      <c r="B96">
        <v>1</v>
      </c>
      <c r="C96">
        <v>4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>
        <v>1</v>
      </c>
      <c r="K96">
        <v>1</v>
      </c>
      <c r="L96">
        <v>2</v>
      </c>
      <c r="M96">
        <v>7</v>
      </c>
      <c r="N96" t="s">
        <v>14</v>
      </c>
      <c r="O96">
        <f xml:space="preserve"> 表1[[#This Row],[Thallium]]*0.6</f>
        <v>4.2</v>
      </c>
    </row>
    <row r="97" spans="1:15" x14ac:dyDescent="0.3">
      <c r="A97">
        <v>47</v>
      </c>
      <c r="B97">
        <v>1</v>
      </c>
      <c r="C97">
        <v>4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>
        <v>1</v>
      </c>
      <c r="K97">
        <v>2</v>
      </c>
      <c r="L97">
        <v>1</v>
      </c>
      <c r="M97">
        <v>3</v>
      </c>
      <c r="N97" t="s">
        <v>14</v>
      </c>
      <c r="O97">
        <f xml:space="preserve"> 表1[[#This Row],[Thallium]]*0.6</f>
        <v>1.7999999999999998</v>
      </c>
    </row>
    <row r="98" spans="1:15" x14ac:dyDescent="0.3">
      <c r="A98">
        <v>66</v>
      </c>
      <c r="B98">
        <v>1</v>
      </c>
      <c r="C98">
        <v>4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>
        <v>0.4</v>
      </c>
      <c r="K98">
        <v>2</v>
      </c>
      <c r="L98">
        <v>0</v>
      </c>
      <c r="M98">
        <v>3</v>
      </c>
      <c r="N98" t="s">
        <v>15</v>
      </c>
      <c r="O98">
        <f xml:space="preserve"> 表1[[#This Row],[Thallium]]*0.6</f>
        <v>1.7999999999999998</v>
      </c>
    </row>
    <row r="99" spans="1:15" x14ac:dyDescent="0.3">
      <c r="A99">
        <v>58</v>
      </c>
      <c r="B99">
        <v>1</v>
      </c>
      <c r="C99">
        <v>4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>
        <v>0.1</v>
      </c>
      <c r="K99">
        <v>1</v>
      </c>
      <c r="L99">
        <v>1</v>
      </c>
      <c r="M99">
        <v>7</v>
      </c>
      <c r="N99" t="s">
        <v>14</v>
      </c>
      <c r="O99">
        <f xml:space="preserve"> 表1[[#This Row],[Thallium]]*0.6</f>
        <v>4.2</v>
      </c>
    </row>
    <row r="100" spans="1:15" x14ac:dyDescent="0.3">
      <c r="A100">
        <v>64</v>
      </c>
      <c r="B100">
        <v>0</v>
      </c>
      <c r="C100">
        <v>3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>
        <v>0.2</v>
      </c>
      <c r="K100">
        <v>1</v>
      </c>
      <c r="L100">
        <v>0</v>
      </c>
      <c r="M100">
        <v>7</v>
      </c>
      <c r="N100" t="s">
        <v>15</v>
      </c>
      <c r="O100">
        <f xml:space="preserve"> 表1[[#This Row],[Thallium]]*0.6</f>
        <v>4.2</v>
      </c>
    </row>
    <row r="101" spans="1:15" x14ac:dyDescent="0.3">
      <c r="A101">
        <v>50</v>
      </c>
      <c r="B101">
        <v>0</v>
      </c>
      <c r="C101">
        <v>2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>
        <v>1.1000000000000001</v>
      </c>
      <c r="K101">
        <v>1</v>
      </c>
      <c r="L101">
        <v>0</v>
      </c>
      <c r="M101">
        <v>3</v>
      </c>
      <c r="N101" t="s">
        <v>15</v>
      </c>
      <c r="O101">
        <f xml:space="preserve"> 表1[[#This Row],[Thallium]]*0.6</f>
        <v>1.7999999999999998</v>
      </c>
    </row>
    <row r="102" spans="1:15" x14ac:dyDescent="0.3">
      <c r="A102">
        <v>44</v>
      </c>
      <c r="B102">
        <v>0</v>
      </c>
      <c r="C102">
        <v>3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>
        <v>0.6</v>
      </c>
      <c r="K102">
        <v>2</v>
      </c>
      <c r="L102">
        <v>0</v>
      </c>
      <c r="M102">
        <v>3</v>
      </c>
      <c r="N102" t="s">
        <v>15</v>
      </c>
      <c r="O102">
        <f xml:space="preserve"> 表1[[#This Row],[Thallium]]*0.6</f>
        <v>1.7999999999999998</v>
      </c>
    </row>
    <row r="103" spans="1:15" x14ac:dyDescent="0.3">
      <c r="A103">
        <v>67</v>
      </c>
      <c r="B103">
        <v>1</v>
      </c>
      <c r="C103">
        <v>4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>
        <v>1</v>
      </c>
      <c r="K103">
        <v>2</v>
      </c>
      <c r="L103">
        <v>0</v>
      </c>
      <c r="M103">
        <v>3</v>
      </c>
      <c r="N103" t="s">
        <v>14</v>
      </c>
      <c r="O103">
        <f xml:space="preserve"> 表1[[#This Row],[Thallium]]*0.6</f>
        <v>1.7999999999999998</v>
      </c>
    </row>
    <row r="104" spans="1:15" x14ac:dyDescent="0.3">
      <c r="A104">
        <v>49</v>
      </c>
      <c r="B104">
        <v>0</v>
      </c>
      <c r="C104">
        <v>4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>
        <v>0</v>
      </c>
      <c r="K104">
        <v>1</v>
      </c>
      <c r="L104">
        <v>0</v>
      </c>
      <c r="M104">
        <v>3</v>
      </c>
      <c r="N104" t="s">
        <v>15</v>
      </c>
      <c r="O104">
        <f xml:space="preserve"> 表1[[#This Row],[Thallium]]*0.6</f>
        <v>1.7999999999999998</v>
      </c>
    </row>
    <row r="105" spans="1:15" x14ac:dyDescent="0.3">
      <c r="A105">
        <v>57</v>
      </c>
      <c r="B105">
        <v>1</v>
      </c>
      <c r="C105">
        <v>4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>
        <v>1</v>
      </c>
      <c r="K105">
        <v>2</v>
      </c>
      <c r="L105">
        <v>3</v>
      </c>
      <c r="M105">
        <v>7</v>
      </c>
      <c r="N105" t="s">
        <v>14</v>
      </c>
      <c r="O105">
        <f xml:space="preserve"> 表1[[#This Row],[Thallium]]*0.6</f>
        <v>4.2</v>
      </c>
    </row>
    <row r="106" spans="1:15" x14ac:dyDescent="0.3">
      <c r="A106">
        <v>63</v>
      </c>
      <c r="B106">
        <v>1</v>
      </c>
      <c r="C106">
        <v>4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>
        <v>1.4</v>
      </c>
      <c r="K106">
        <v>2</v>
      </c>
      <c r="L106">
        <v>1</v>
      </c>
      <c r="M106">
        <v>7</v>
      </c>
      <c r="N106" t="s">
        <v>14</v>
      </c>
      <c r="O106">
        <f xml:space="preserve"> 表1[[#This Row],[Thallium]]*0.6</f>
        <v>4.2</v>
      </c>
    </row>
    <row r="107" spans="1:15" x14ac:dyDescent="0.3">
      <c r="A107">
        <v>48</v>
      </c>
      <c r="B107">
        <v>1</v>
      </c>
      <c r="C107">
        <v>4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>
        <v>0.5</v>
      </c>
      <c r="K107">
        <v>2</v>
      </c>
      <c r="L107">
        <v>0</v>
      </c>
      <c r="M107">
        <v>7</v>
      </c>
      <c r="N107" t="s">
        <v>14</v>
      </c>
      <c r="O107">
        <f xml:space="preserve"> 表1[[#This Row],[Thallium]]*0.6</f>
        <v>4.2</v>
      </c>
    </row>
    <row r="108" spans="1:15" x14ac:dyDescent="0.3">
      <c r="A108">
        <v>51</v>
      </c>
      <c r="B108">
        <v>1</v>
      </c>
      <c r="C108">
        <v>3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>
        <v>1.2</v>
      </c>
      <c r="K108">
        <v>2</v>
      </c>
      <c r="L108">
        <v>0</v>
      </c>
      <c r="M108">
        <v>3</v>
      </c>
      <c r="N108" t="s">
        <v>15</v>
      </c>
      <c r="O108">
        <f xml:space="preserve"> 表1[[#This Row],[Thallium]]*0.6</f>
        <v>1.7999999999999998</v>
      </c>
    </row>
    <row r="109" spans="1:15" x14ac:dyDescent="0.3">
      <c r="A109">
        <v>60</v>
      </c>
      <c r="B109">
        <v>0</v>
      </c>
      <c r="C109">
        <v>4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>
        <v>2.6</v>
      </c>
      <c r="K109">
        <v>2</v>
      </c>
      <c r="L109">
        <v>2</v>
      </c>
      <c r="M109">
        <v>7</v>
      </c>
      <c r="N109" t="s">
        <v>14</v>
      </c>
      <c r="O109">
        <f xml:space="preserve"> 表1[[#This Row],[Thallium]]*0.6</f>
        <v>4.2</v>
      </c>
    </row>
    <row r="110" spans="1:15" x14ac:dyDescent="0.3">
      <c r="A110">
        <v>59</v>
      </c>
      <c r="B110">
        <v>1</v>
      </c>
      <c r="C110">
        <v>4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>
        <v>0</v>
      </c>
      <c r="K110">
        <v>1</v>
      </c>
      <c r="L110">
        <v>1</v>
      </c>
      <c r="M110">
        <v>7</v>
      </c>
      <c r="N110" t="s">
        <v>14</v>
      </c>
      <c r="O110">
        <f xml:space="preserve"> 表1[[#This Row],[Thallium]]*0.6</f>
        <v>4.2</v>
      </c>
    </row>
    <row r="111" spans="1:15" x14ac:dyDescent="0.3">
      <c r="A111">
        <v>45</v>
      </c>
      <c r="B111">
        <v>0</v>
      </c>
      <c r="C111">
        <v>2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>
        <v>0</v>
      </c>
      <c r="K111">
        <v>2</v>
      </c>
      <c r="L111">
        <v>0</v>
      </c>
      <c r="M111">
        <v>3</v>
      </c>
      <c r="N111" t="s">
        <v>15</v>
      </c>
      <c r="O111">
        <f xml:space="preserve"> 表1[[#This Row],[Thallium]]*0.6</f>
        <v>1.7999999999999998</v>
      </c>
    </row>
    <row r="112" spans="1:15" x14ac:dyDescent="0.3">
      <c r="A112">
        <v>55</v>
      </c>
      <c r="B112">
        <v>0</v>
      </c>
      <c r="C112">
        <v>4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>
        <v>3.4</v>
      </c>
      <c r="K112">
        <v>2</v>
      </c>
      <c r="L112">
        <v>0</v>
      </c>
      <c r="M112">
        <v>3</v>
      </c>
      <c r="N112" t="s">
        <v>14</v>
      </c>
      <c r="O112">
        <f xml:space="preserve"> 表1[[#This Row],[Thallium]]*0.6</f>
        <v>1.7999999999999998</v>
      </c>
    </row>
    <row r="113" spans="1:15" x14ac:dyDescent="0.3">
      <c r="A113">
        <v>41</v>
      </c>
      <c r="B113">
        <v>1</v>
      </c>
      <c r="C113">
        <v>2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>
        <v>0</v>
      </c>
      <c r="K113">
        <v>1</v>
      </c>
      <c r="L113">
        <v>0</v>
      </c>
      <c r="M113">
        <v>3</v>
      </c>
      <c r="N113" t="s">
        <v>15</v>
      </c>
      <c r="O113">
        <f xml:space="preserve"> 表1[[#This Row],[Thallium]]*0.6</f>
        <v>1.7999999999999998</v>
      </c>
    </row>
    <row r="114" spans="1:15" x14ac:dyDescent="0.3">
      <c r="A114">
        <v>60</v>
      </c>
      <c r="B114">
        <v>0</v>
      </c>
      <c r="C114">
        <v>4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>
        <v>0</v>
      </c>
      <c r="K114">
        <v>1</v>
      </c>
      <c r="L114">
        <v>0</v>
      </c>
      <c r="M114">
        <v>3</v>
      </c>
      <c r="N114" t="s">
        <v>14</v>
      </c>
      <c r="O114">
        <f xml:space="preserve"> 表1[[#This Row],[Thallium]]*0.6</f>
        <v>1.7999999999999998</v>
      </c>
    </row>
    <row r="115" spans="1:15" x14ac:dyDescent="0.3">
      <c r="A115">
        <v>54</v>
      </c>
      <c r="B115">
        <v>0</v>
      </c>
      <c r="C115">
        <v>3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>
        <v>0</v>
      </c>
      <c r="K115">
        <v>1</v>
      </c>
      <c r="L115">
        <v>0</v>
      </c>
      <c r="M115">
        <v>3</v>
      </c>
      <c r="N115" t="s">
        <v>15</v>
      </c>
      <c r="O115">
        <f xml:space="preserve"> 表1[[#This Row],[Thallium]]*0.6</f>
        <v>1.7999999999999998</v>
      </c>
    </row>
    <row r="116" spans="1:15" x14ac:dyDescent="0.3">
      <c r="A116">
        <v>42</v>
      </c>
      <c r="B116">
        <v>1</v>
      </c>
      <c r="C116">
        <v>2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>
        <v>0</v>
      </c>
      <c r="K116">
        <v>1</v>
      </c>
      <c r="L116">
        <v>0</v>
      </c>
      <c r="M116">
        <v>3</v>
      </c>
      <c r="N116" t="s">
        <v>15</v>
      </c>
      <c r="O116">
        <f xml:space="preserve"> 表1[[#This Row],[Thallium]]*0.6</f>
        <v>1.7999999999999998</v>
      </c>
    </row>
    <row r="117" spans="1:15" x14ac:dyDescent="0.3">
      <c r="A117">
        <v>49</v>
      </c>
      <c r="B117">
        <v>0</v>
      </c>
      <c r="C117">
        <v>2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>
        <v>0</v>
      </c>
      <c r="K117">
        <v>2</v>
      </c>
      <c r="L117">
        <v>0</v>
      </c>
      <c r="M117">
        <v>3</v>
      </c>
      <c r="N117" t="s">
        <v>15</v>
      </c>
      <c r="O117">
        <f xml:space="preserve"> 表1[[#This Row],[Thallium]]*0.6</f>
        <v>1.7999999999999998</v>
      </c>
    </row>
    <row r="118" spans="1:15" x14ac:dyDescent="0.3">
      <c r="A118">
        <v>46</v>
      </c>
      <c r="B118">
        <v>1</v>
      </c>
      <c r="C118">
        <v>4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>
        <v>0.8</v>
      </c>
      <c r="K118">
        <v>1</v>
      </c>
      <c r="L118">
        <v>0</v>
      </c>
      <c r="M118">
        <v>7</v>
      </c>
      <c r="N118" t="s">
        <v>14</v>
      </c>
      <c r="O118">
        <f xml:space="preserve"> 表1[[#This Row],[Thallium]]*0.6</f>
        <v>4.2</v>
      </c>
    </row>
    <row r="119" spans="1:15" x14ac:dyDescent="0.3">
      <c r="A119">
        <v>56</v>
      </c>
      <c r="B119">
        <v>0</v>
      </c>
      <c r="C119">
        <v>4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>
        <v>4</v>
      </c>
      <c r="K119">
        <v>3</v>
      </c>
      <c r="L119">
        <v>2</v>
      </c>
      <c r="M119">
        <v>7</v>
      </c>
      <c r="N119" t="s">
        <v>14</v>
      </c>
      <c r="O119">
        <f xml:space="preserve"> 表1[[#This Row],[Thallium]]*0.6</f>
        <v>4.2</v>
      </c>
    </row>
    <row r="120" spans="1:15" x14ac:dyDescent="0.3">
      <c r="A120">
        <v>66</v>
      </c>
      <c r="B120">
        <v>0</v>
      </c>
      <c r="C120">
        <v>1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>
        <v>2.6</v>
      </c>
      <c r="K120">
        <v>3</v>
      </c>
      <c r="L120">
        <v>0</v>
      </c>
      <c r="M120">
        <v>3</v>
      </c>
      <c r="N120" s="2" t="s">
        <v>17</v>
      </c>
      <c r="O120">
        <f xml:space="preserve"> 表1[[#This Row],[Thallium]]*0.6</f>
        <v>1.7999999999999998</v>
      </c>
    </row>
    <row r="121" spans="1:15" x14ac:dyDescent="0.3">
      <c r="A121">
        <v>56</v>
      </c>
      <c r="B121">
        <v>1</v>
      </c>
      <c r="C121">
        <v>4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>
        <v>1.6</v>
      </c>
      <c r="K121">
        <v>3</v>
      </c>
      <c r="L121">
        <v>0</v>
      </c>
      <c r="M121">
        <v>7</v>
      </c>
      <c r="N121" t="s">
        <v>14</v>
      </c>
      <c r="O121">
        <f xml:space="preserve"> 表1[[#This Row],[Thallium]]*0.6</f>
        <v>4.2</v>
      </c>
    </row>
    <row r="122" spans="1:15" x14ac:dyDescent="0.3">
      <c r="A122">
        <v>49</v>
      </c>
      <c r="B122">
        <v>1</v>
      </c>
      <c r="C122">
        <v>3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>
        <v>2</v>
      </c>
      <c r="K122">
        <v>2</v>
      </c>
      <c r="L122">
        <v>3</v>
      </c>
      <c r="M122">
        <v>7</v>
      </c>
      <c r="N122" t="s">
        <v>14</v>
      </c>
      <c r="O122">
        <f xml:space="preserve"> 表1[[#This Row],[Thallium]]*0.6</f>
        <v>4.2</v>
      </c>
    </row>
    <row r="123" spans="1:15" x14ac:dyDescent="0.3">
      <c r="A123">
        <v>54</v>
      </c>
      <c r="B123">
        <v>1</v>
      </c>
      <c r="C123">
        <v>4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>
        <v>3.2</v>
      </c>
      <c r="K123">
        <v>2</v>
      </c>
      <c r="L123">
        <v>2</v>
      </c>
      <c r="M123">
        <v>3</v>
      </c>
      <c r="N123" t="s">
        <v>14</v>
      </c>
      <c r="O123">
        <f xml:space="preserve"> 表1[[#This Row],[Thallium]]*0.6</f>
        <v>1.7999999999999998</v>
      </c>
    </row>
    <row r="124" spans="1:15" x14ac:dyDescent="0.3">
      <c r="A124">
        <v>57</v>
      </c>
      <c r="B124">
        <v>1</v>
      </c>
      <c r="C124">
        <v>4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>
        <v>1.2</v>
      </c>
      <c r="K124">
        <v>2</v>
      </c>
      <c r="L124">
        <v>1</v>
      </c>
      <c r="M124">
        <v>7</v>
      </c>
      <c r="N124" t="s">
        <v>14</v>
      </c>
      <c r="O124">
        <f xml:space="preserve"> 表1[[#This Row],[Thallium]]*0.6</f>
        <v>4.2</v>
      </c>
    </row>
    <row r="125" spans="1:15" x14ac:dyDescent="0.3">
      <c r="A125">
        <v>65</v>
      </c>
      <c r="B125">
        <v>0</v>
      </c>
      <c r="C125">
        <v>3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>
        <v>0.8</v>
      </c>
      <c r="K125">
        <v>1</v>
      </c>
      <c r="L125">
        <v>0</v>
      </c>
      <c r="M125">
        <v>3</v>
      </c>
      <c r="N125" t="s">
        <v>15</v>
      </c>
      <c r="O125">
        <f xml:space="preserve"> 表1[[#This Row],[Thallium]]*0.6</f>
        <v>1.7999999999999998</v>
      </c>
    </row>
    <row r="126" spans="1:15" x14ac:dyDescent="0.3">
      <c r="A126">
        <v>54</v>
      </c>
      <c r="B126">
        <v>1</v>
      </c>
      <c r="C126">
        <v>3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>
        <v>0.5</v>
      </c>
      <c r="K126">
        <v>3</v>
      </c>
      <c r="L126">
        <v>1</v>
      </c>
      <c r="M126">
        <v>3</v>
      </c>
      <c r="N126" t="s">
        <v>15</v>
      </c>
      <c r="O126">
        <f xml:space="preserve"> 表1[[#This Row],[Thallium]]*0.6</f>
        <v>1.7999999999999998</v>
      </c>
    </row>
    <row r="127" spans="1:15" x14ac:dyDescent="0.3">
      <c r="A127">
        <v>54</v>
      </c>
      <c r="B127">
        <v>0</v>
      </c>
      <c r="C127">
        <v>3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>
        <v>0</v>
      </c>
      <c r="K127">
        <v>1</v>
      </c>
      <c r="L127">
        <v>1</v>
      </c>
      <c r="M127">
        <v>3</v>
      </c>
      <c r="N127" t="s">
        <v>15</v>
      </c>
      <c r="O127">
        <f xml:space="preserve"> 表1[[#This Row],[Thallium]]*0.6</f>
        <v>1.7999999999999998</v>
      </c>
    </row>
    <row r="128" spans="1:15" x14ac:dyDescent="0.3">
      <c r="A128">
        <v>62</v>
      </c>
      <c r="B128">
        <v>1</v>
      </c>
      <c r="C128">
        <v>4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>
        <v>1.8</v>
      </c>
      <c r="K128">
        <v>2</v>
      </c>
      <c r="L128">
        <v>2</v>
      </c>
      <c r="M128">
        <v>7</v>
      </c>
      <c r="N128" t="s">
        <v>14</v>
      </c>
      <c r="O128">
        <f xml:space="preserve"> 表1[[#This Row],[Thallium]]*0.6</f>
        <v>4.2</v>
      </c>
    </row>
    <row r="129" spans="1:15" x14ac:dyDescent="0.3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>
        <v>0.1</v>
      </c>
      <c r="K129">
        <v>2</v>
      </c>
      <c r="L129">
        <v>0</v>
      </c>
      <c r="M129">
        <v>3</v>
      </c>
      <c r="N129" t="s">
        <v>15</v>
      </c>
      <c r="O129">
        <f xml:space="preserve"> 表1[[#This Row],[Thallium]]*0.6</f>
        <v>1.7999999999999998</v>
      </c>
    </row>
    <row r="130" spans="1:15" x14ac:dyDescent="0.3">
      <c r="A130">
        <v>52</v>
      </c>
      <c r="B130">
        <v>1</v>
      </c>
      <c r="C130">
        <v>2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>
        <v>0.8</v>
      </c>
      <c r="K130">
        <v>1</v>
      </c>
      <c r="L130">
        <v>1</v>
      </c>
      <c r="M130">
        <v>3</v>
      </c>
      <c r="N130" t="s">
        <v>15</v>
      </c>
      <c r="O130">
        <f xml:space="preserve"> 表1[[#This Row],[Thallium]]*0.6</f>
        <v>1.7999999999999998</v>
      </c>
    </row>
    <row r="131" spans="1:15" x14ac:dyDescent="0.3">
      <c r="A131">
        <v>60</v>
      </c>
      <c r="B131">
        <v>1</v>
      </c>
      <c r="C131">
        <v>4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>
        <v>1.4</v>
      </c>
      <c r="K131">
        <v>1</v>
      </c>
      <c r="L131">
        <v>2</v>
      </c>
      <c r="M131">
        <v>7</v>
      </c>
      <c r="N131" t="s">
        <v>14</v>
      </c>
      <c r="O131">
        <f xml:space="preserve"> 表1[[#This Row],[Thallium]]*0.6</f>
        <v>4.2</v>
      </c>
    </row>
    <row r="132" spans="1:15" x14ac:dyDescent="0.3">
      <c r="A132">
        <v>63</v>
      </c>
      <c r="B132">
        <v>0</v>
      </c>
      <c r="C132">
        <v>4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>
        <v>1.8</v>
      </c>
      <c r="K132">
        <v>2</v>
      </c>
      <c r="L132">
        <v>2</v>
      </c>
      <c r="M132">
        <v>3</v>
      </c>
      <c r="N132" t="s">
        <v>14</v>
      </c>
      <c r="O132">
        <f xml:space="preserve"> 表1[[#This Row],[Thallium]]*0.6</f>
        <v>1.7999999999999998</v>
      </c>
    </row>
    <row r="133" spans="1:15" x14ac:dyDescent="0.3">
      <c r="A133">
        <v>66</v>
      </c>
      <c r="B133">
        <v>1</v>
      </c>
      <c r="C133">
        <v>4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>
        <v>0.1</v>
      </c>
      <c r="K133">
        <v>1</v>
      </c>
      <c r="L133">
        <v>1</v>
      </c>
      <c r="M133">
        <v>3</v>
      </c>
      <c r="N133" t="s">
        <v>14</v>
      </c>
      <c r="O133">
        <f xml:space="preserve"> 表1[[#This Row],[Thallium]]*0.6</f>
        <v>1.7999999999999998</v>
      </c>
    </row>
    <row r="134" spans="1:15" x14ac:dyDescent="0.3">
      <c r="A134">
        <v>42</v>
      </c>
      <c r="B134">
        <v>1</v>
      </c>
      <c r="C134">
        <v>4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>
        <v>0</v>
      </c>
      <c r="K134">
        <v>1</v>
      </c>
      <c r="L134">
        <v>0</v>
      </c>
      <c r="M134">
        <v>3</v>
      </c>
      <c r="N134" t="s">
        <v>15</v>
      </c>
      <c r="O134">
        <f xml:space="preserve"> 表1[[#This Row],[Thallium]]*0.6</f>
        <v>1.7999999999999998</v>
      </c>
    </row>
    <row r="135" spans="1:15" x14ac:dyDescent="0.3">
      <c r="A135">
        <v>64</v>
      </c>
      <c r="B135">
        <v>1</v>
      </c>
      <c r="C135">
        <v>4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>
        <v>2.2000000000000002</v>
      </c>
      <c r="K135">
        <v>3</v>
      </c>
      <c r="L135">
        <v>1</v>
      </c>
      <c r="M135">
        <v>3</v>
      </c>
      <c r="N135" t="s">
        <v>14</v>
      </c>
      <c r="O135">
        <f xml:space="preserve"> 表1[[#This Row],[Thallium]]*0.6</f>
        <v>1.7999999999999998</v>
      </c>
    </row>
    <row r="136" spans="1:15" x14ac:dyDescent="0.3">
      <c r="A136">
        <v>54</v>
      </c>
      <c r="B136">
        <v>1</v>
      </c>
      <c r="C136">
        <v>3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>
        <v>1.6</v>
      </c>
      <c r="K136">
        <v>1</v>
      </c>
      <c r="L136">
        <v>0</v>
      </c>
      <c r="M136">
        <v>7</v>
      </c>
      <c r="N136" t="s">
        <v>15</v>
      </c>
      <c r="O136">
        <f xml:space="preserve"> 表1[[#This Row],[Thallium]]*0.6</f>
        <v>4.2</v>
      </c>
    </row>
    <row r="137" spans="1:15" x14ac:dyDescent="0.3">
      <c r="A137">
        <v>46</v>
      </c>
      <c r="B137">
        <v>0</v>
      </c>
      <c r="C137">
        <v>3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3</v>
      </c>
      <c r="L137">
        <v>0</v>
      </c>
      <c r="M137">
        <v>3</v>
      </c>
      <c r="N137" t="s">
        <v>15</v>
      </c>
      <c r="O137">
        <f xml:space="preserve"> 表1[[#This Row],[Thallium]]*0.6</f>
        <v>1.7999999999999998</v>
      </c>
    </row>
    <row r="138" spans="1:15" x14ac:dyDescent="0.3">
      <c r="A138">
        <v>67</v>
      </c>
      <c r="B138">
        <v>0</v>
      </c>
      <c r="C138">
        <v>3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>
        <v>0</v>
      </c>
      <c r="K138">
        <v>1</v>
      </c>
      <c r="L138">
        <v>1</v>
      </c>
      <c r="M138">
        <v>3</v>
      </c>
      <c r="N138" t="s">
        <v>15</v>
      </c>
      <c r="O138">
        <f xml:space="preserve"> 表1[[#This Row],[Thallium]]*0.6</f>
        <v>1.7999999999999998</v>
      </c>
    </row>
    <row r="139" spans="1:15" x14ac:dyDescent="0.3">
      <c r="A139">
        <v>56</v>
      </c>
      <c r="B139">
        <v>1</v>
      </c>
      <c r="C139">
        <v>4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>
        <v>1.2</v>
      </c>
      <c r="K139">
        <v>2</v>
      </c>
      <c r="L139">
        <v>1</v>
      </c>
      <c r="M139">
        <v>3</v>
      </c>
      <c r="N139" t="s">
        <v>14</v>
      </c>
      <c r="O139">
        <f xml:space="preserve"> 表1[[#This Row],[Thallium]]*0.6</f>
        <v>1.7999999999999998</v>
      </c>
    </row>
    <row r="140" spans="1:15" x14ac:dyDescent="0.3">
      <c r="A140">
        <v>34</v>
      </c>
      <c r="B140">
        <v>0</v>
      </c>
      <c r="C140">
        <v>2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>
        <v>0.7</v>
      </c>
      <c r="K140">
        <v>1</v>
      </c>
      <c r="L140">
        <v>0</v>
      </c>
      <c r="M140">
        <v>3</v>
      </c>
      <c r="N140" t="s">
        <v>15</v>
      </c>
      <c r="O140">
        <f xml:space="preserve"> 表1[[#This Row],[Thallium]]*0.6</f>
        <v>1.7999999999999998</v>
      </c>
    </row>
    <row r="141" spans="1:15" x14ac:dyDescent="0.3">
      <c r="A141">
        <v>57</v>
      </c>
      <c r="B141">
        <v>1</v>
      </c>
      <c r="C141">
        <v>4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>
        <v>0</v>
      </c>
      <c r="K141">
        <v>1</v>
      </c>
      <c r="L141">
        <v>0</v>
      </c>
      <c r="M141">
        <v>7</v>
      </c>
      <c r="N141" t="s">
        <v>15</v>
      </c>
      <c r="O141">
        <f xml:space="preserve"> 表1[[#This Row],[Thallium]]*0.6</f>
        <v>4.2</v>
      </c>
    </row>
    <row r="142" spans="1:15" x14ac:dyDescent="0.3">
      <c r="A142">
        <v>64</v>
      </c>
      <c r="B142">
        <v>1</v>
      </c>
      <c r="C142">
        <v>4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>
        <v>2</v>
      </c>
      <c r="K142">
        <v>2</v>
      </c>
      <c r="L142">
        <v>2</v>
      </c>
      <c r="M142">
        <v>6</v>
      </c>
      <c r="N142" t="s">
        <v>14</v>
      </c>
      <c r="O142">
        <f xml:space="preserve"> 表1[[#This Row],[Thallium]]*0.6</f>
        <v>3.5999999999999996</v>
      </c>
    </row>
    <row r="143" spans="1:15" x14ac:dyDescent="0.3">
      <c r="A143">
        <v>59</v>
      </c>
      <c r="B143">
        <v>1</v>
      </c>
      <c r="C143">
        <v>4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>
        <v>0</v>
      </c>
      <c r="K143">
        <v>1</v>
      </c>
      <c r="L143">
        <v>0</v>
      </c>
      <c r="M143">
        <v>3</v>
      </c>
      <c r="N143" t="s">
        <v>15</v>
      </c>
      <c r="O143">
        <f xml:space="preserve"> 表1[[#This Row],[Thallium]]*0.6</f>
        <v>1.7999999999999998</v>
      </c>
    </row>
    <row r="144" spans="1:15" x14ac:dyDescent="0.3">
      <c r="A144">
        <v>50</v>
      </c>
      <c r="B144">
        <v>1</v>
      </c>
      <c r="C144">
        <v>3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>
        <v>0.6</v>
      </c>
      <c r="K144">
        <v>2</v>
      </c>
      <c r="L144">
        <v>1</v>
      </c>
      <c r="M144">
        <v>7</v>
      </c>
      <c r="N144" t="s">
        <v>14</v>
      </c>
      <c r="O144">
        <f xml:space="preserve"> 表1[[#This Row],[Thallium]]*0.6</f>
        <v>4.2</v>
      </c>
    </row>
    <row r="145" spans="1:15" x14ac:dyDescent="0.3">
      <c r="A145">
        <v>51</v>
      </c>
      <c r="B145">
        <v>1</v>
      </c>
      <c r="C145">
        <v>1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>
        <v>1.4</v>
      </c>
      <c r="K145">
        <v>1</v>
      </c>
      <c r="L145">
        <v>1</v>
      </c>
      <c r="M145">
        <v>3</v>
      </c>
      <c r="N145" t="s">
        <v>15</v>
      </c>
      <c r="O145">
        <f xml:space="preserve"> 表1[[#This Row],[Thallium]]*0.6</f>
        <v>1.7999999999999998</v>
      </c>
    </row>
    <row r="146" spans="1:15" x14ac:dyDescent="0.3">
      <c r="A146">
        <v>54</v>
      </c>
      <c r="B146">
        <v>1</v>
      </c>
      <c r="C146">
        <v>2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>
        <v>0</v>
      </c>
      <c r="K146">
        <v>1</v>
      </c>
      <c r="L146">
        <v>1</v>
      </c>
      <c r="M146">
        <v>7</v>
      </c>
      <c r="N146" t="s">
        <v>14</v>
      </c>
      <c r="O146">
        <f xml:space="preserve"> 表1[[#This Row],[Thallium]]*0.6</f>
        <v>4.2</v>
      </c>
    </row>
    <row r="147" spans="1:15" x14ac:dyDescent="0.3">
      <c r="A147">
        <v>53</v>
      </c>
      <c r="B147">
        <v>1</v>
      </c>
      <c r="C147">
        <v>4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>
        <v>2</v>
      </c>
      <c r="K147">
        <v>2</v>
      </c>
      <c r="L147">
        <v>2</v>
      </c>
      <c r="M147">
        <v>7</v>
      </c>
      <c r="N147" t="s">
        <v>14</v>
      </c>
      <c r="O147">
        <f xml:space="preserve"> 表1[[#This Row],[Thallium]]*0.6</f>
        <v>4.2</v>
      </c>
    </row>
    <row r="148" spans="1:15" x14ac:dyDescent="0.3">
      <c r="A148">
        <v>52</v>
      </c>
      <c r="B148">
        <v>1</v>
      </c>
      <c r="C148">
        <v>4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>
        <v>0</v>
      </c>
      <c r="K148">
        <v>1</v>
      </c>
      <c r="L148">
        <v>1</v>
      </c>
      <c r="M148">
        <v>3</v>
      </c>
      <c r="N148" t="s">
        <v>14</v>
      </c>
      <c r="O148">
        <f xml:space="preserve"> 表1[[#This Row],[Thallium]]*0.6</f>
        <v>1.7999999999999998</v>
      </c>
    </row>
    <row r="149" spans="1:15" x14ac:dyDescent="0.3">
      <c r="A149">
        <v>40</v>
      </c>
      <c r="B149">
        <v>1</v>
      </c>
      <c r="C149">
        <v>4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>
        <v>2</v>
      </c>
      <c r="K149">
        <v>2</v>
      </c>
      <c r="L149">
        <v>0</v>
      </c>
      <c r="M149">
        <v>7</v>
      </c>
      <c r="N149" t="s">
        <v>14</v>
      </c>
      <c r="O149">
        <f xml:space="preserve"> 表1[[#This Row],[Thallium]]*0.6</f>
        <v>4.2</v>
      </c>
    </row>
    <row r="150" spans="1:15" x14ac:dyDescent="0.3">
      <c r="A150">
        <v>58</v>
      </c>
      <c r="B150">
        <v>1</v>
      </c>
      <c r="C150">
        <v>3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>
        <v>3.2</v>
      </c>
      <c r="K150">
        <v>1</v>
      </c>
      <c r="L150">
        <v>2</v>
      </c>
      <c r="M150">
        <v>7</v>
      </c>
      <c r="N150" t="s">
        <v>14</v>
      </c>
      <c r="O150">
        <f xml:space="preserve"> 表1[[#This Row],[Thallium]]*0.6</f>
        <v>4.2</v>
      </c>
    </row>
    <row r="151" spans="1:15" x14ac:dyDescent="0.3">
      <c r="A151">
        <v>41</v>
      </c>
      <c r="B151">
        <v>0</v>
      </c>
      <c r="C151">
        <v>3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1</v>
      </c>
      <c r="L151">
        <v>0</v>
      </c>
      <c r="M151">
        <v>3</v>
      </c>
      <c r="N151" t="s">
        <v>15</v>
      </c>
      <c r="O151">
        <f xml:space="preserve"> 表1[[#This Row],[Thallium]]*0.6</f>
        <v>1.7999999999999998</v>
      </c>
    </row>
    <row r="152" spans="1:15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 t="s">
        <v>15</v>
      </c>
      <c r="O152">
        <f xml:space="preserve"> 表1[[#This Row],[Thallium]]*0.6</f>
        <v>1.7999999999999998</v>
      </c>
    </row>
    <row r="153" spans="1:15" x14ac:dyDescent="0.3">
      <c r="A153">
        <v>50</v>
      </c>
      <c r="B153">
        <v>0</v>
      </c>
      <c r="C153">
        <v>3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>
        <v>1.6</v>
      </c>
      <c r="K153">
        <v>2</v>
      </c>
      <c r="L153">
        <v>0</v>
      </c>
      <c r="M153">
        <v>3</v>
      </c>
      <c r="N153" t="s">
        <v>15</v>
      </c>
      <c r="O153">
        <f xml:space="preserve"> 表1[[#This Row],[Thallium]]*0.6</f>
        <v>1.7999999999999998</v>
      </c>
    </row>
    <row r="154" spans="1:15" x14ac:dyDescent="0.3">
      <c r="A154">
        <v>54</v>
      </c>
      <c r="B154">
        <v>0</v>
      </c>
      <c r="C154">
        <v>3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>
        <v>0</v>
      </c>
      <c r="K154">
        <v>1</v>
      </c>
      <c r="L154">
        <v>0</v>
      </c>
      <c r="M154">
        <v>3</v>
      </c>
      <c r="N154" t="s">
        <v>15</v>
      </c>
      <c r="O154">
        <f xml:space="preserve"> 表1[[#This Row],[Thallium]]*0.6</f>
        <v>1.7999999999999998</v>
      </c>
    </row>
    <row r="155" spans="1:15" x14ac:dyDescent="0.3">
      <c r="A155">
        <v>64</v>
      </c>
      <c r="B155">
        <v>0</v>
      </c>
      <c r="C155">
        <v>4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>
        <v>2</v>
      </c>
      <c r="K155">
        <v>2</v>
      </c>
      <c r="L155">
        <v>2</v>
      </c>
      <c r="M155">
        <v>3</v>
      </c>
      <c r="N155" t="s">
        <v>15</v>
      </c>
      <c r="O155">
        <f xml:space="preserve"> 表1[[#This Row],[Thallium]]*0.6</f>
        <v>1.7999999999999998</v>
      </c>
    </row>
    <row r="156" spans="1:15" x14ac:dyDescent="0.3">
      <c r="A156">
        <v>51</v>
      </c>
      <c r="B156">
        <v>0</v>
      </c>
      <c r="C156">
        <v>3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>
        <v>0.5</v>
      </c>
      <c r="K156">
        <v>1</v>
      </c>
      <c r="L156">
        <v>0</v>
      </c>
      <c r="M156">
        <v>3</v>
      </c>
      <c r="N156" t="s">
        <v>15</v>
      </c>
      <c r="O156">
        <f xml:space="preserve"> 表1[[#This Row],[Thallium]]*0.6</f>
        <v>1.7999999999999998</v>
      </c>
    </row>
    <row r="157" spans="1:15" x14ac:dyDescent="0.3">
      <c r="A157">
        <v>46</v>
      </c>
      <c r="B157">
        <v>0</v>
      </c>
      <c r="C157">
        <v>2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>
        <v>0</v>
      </c>
      <c r="K157">
        <v>1</v>
      </c>
      <c r="L157">
        <v>0</v>
      </c>
      <c r="M157">
        <v>3</v>
      </c>
      <c r="N157" t="s">
        <v>15</v>
      </c>
      <c r="O157">
        <f xml:space="preserve"> 表1[[#This Row],[Thallium]]*0.6</f>
        <v>1.7999999999999998</v>
      </c>
    </row>
    <row r="158" spans="1:15" x14ac:dyDescent="0.3">
      <c r="A158">
        <v>55</v>
      </c>
      <c r="B158">
        <v>1</v>
      </c>
      <c r="C158">
        <v>4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>
        <v>5.6</v>
      </c>
      <c r="K158">
        <v>3</v>
      </c>
      <c r="L158">
        <v>0</v>
      </c>
      <c r="M158">
        <v>7</v>
      </c>
      <c r="N158" t="s">
        <v>14</v>
      </c>
      <c r="O158">
        <f xml:space="preserve"> 表1[[#This Row],[Thallium]]*0.6</f>
        <v>4.2</v>
      </c>
    </row>
    <row r="159" spans="1:15" x14ac:dyDescent="0.3">
      <c r="A159">
        <v>45</v>
      </c>
      <c r="B159">
        <v>1</v>
      </c>
      <c r="C159">
        <v>2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>
        <v>0</v>
      </c>
      <c r="K159">
        <v>1</v>
      </c>
      <c r="L159">
        <v>0</v>
      </c>
      <c r="M159">
        <v>3</v>
      </c>
      <c r="N159" t="s">
        <v>15</v>
      </c>
      <c r="O159">
        <f xml:space="preserve"> 表1[[#This Row],[Thallium]]*0.6</f>
        <v>1.7999999999999998</v>
      </c>
    </row>
    <row r="160" spans="1:15" x14ac:dyDescent="0.3">
      <c r="A160">
        <v>56</v>
      </c>
      <c r="B160">
        <v>1</v>
      </c>
      <c r="C160">
        <v>1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>
        <v>1.9</v>
      </c>
      <c r="K160">
        <v>2</v>
      </c>
      <c r="L160">
        <v>0</v>
      </c>
      <c r="M160">
        <v>7</v>
      </c>
      <c r="N160" t="s">
        <v>15</v>
      </c>
      <c r="O160">
        <f xml:space="preserve"> 表1[[#This Row],[Thallium]]*0.6</f>
        <v>4.2</v>
      </c>
    </row>
    <row r="161" spans="1:15" x14ac:dyDescent="0.3">
      <c r="A161">
        <v>66</v>
      </c>
      <c r="B161">
        <v>0</v>
      </c>
      <c r="C161">
        <v>4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>
        <v>1</v>
      </c>
      <c r="K161">
        <v>2</v>
      </c>
      <c r="L161">
        <v>2</v>
      </c>
      <c r="M161">
        <v>7</v>
      </c>
      <c r="N161" t="s">
        <v>14</v>
      </c>
      <c r="O161">
        <f xml:space="preserve"> 表1[[#This Row],[Thallium]]*0.6</f>
        <v>4.2</v>
      </c>
    </row>
    <row r="162" spans="1:15" x14ac:dyDescent="0.3">
      <c r="A162">
        <v>38</v>
      </c>
      <c r="B162">
        <v>1</v>
      </c>
      <c r="C162">
        <v>1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>
        <v>3.8</v>
      </c>
      <c r="K162">
        <v>2</v>
      </c>
      <c r="L162">
        <v>0</v>
      </c>
      <c r="M162">
        <v>7</v>
      </c>
      <c r="N162" t="s">
        <v>14</v>
      </c>
      <c r="O162">
        <f xml:space="preserve"> 表1[[#This Row],[Thallium]]*0.6</f>
        <v>4.2</v>
      </c>
    </row>
    <row r="163" spans="1:15" x14ac:dyDescent="0.3">
      <c r="A163">
        <v>62</v>
      </c>
      <c r="B163">
        <v>0</v>
      </c>
      <c r="C163">
        <v>4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>
        <v>1.4</v>
      </c>
      <c r="K163">
        <v>2</v>
      </c>
      <c r="L163">
        <v>0</v>
      </c>
      <c r="M163">
        <v>3</v>
      </c>
      <c r="N163" t="s">
        <v>14</v>
      </c>
      <c r="O163">
        <f xml:space="preserve"> 表1[[#This Row],[Thallium]]*0.6</f>
        <v>1.7999999999999998</v>
      </c>
    </row>
    <row r="164" spans="1:15" x14ac:dyDescent="0.3">
      <c r="A164">
        <v>55</v>
      </c>
      <c r="B164">
        <v>1</v>
      </c>
      <c r="C164">
        <v>2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>
        <v>0</v>
      </c>
      <c r="K164">
        <v>1</v>
      </c>
      <c r="L164">
        <v>0</v>
      </c>
      <c r="M164">
        <v>3</v>
      </c>
      <c r="N164" t="s">
        <v>15</v>
      </c>
      <c r="O164">
        <f xml:space="preserve"> 表1[[#This Row],[Thallium]]*0.6</f>
        <v>1.7999999999999998</v>
      </c>
    </row>
    <row r="165" spans="1:15" x14ac:dyDescent="0.3">
      <c r="A165">
        <v>58</v>
      </c>
      <c r="B165">
        <v>1</v>
      </c>
      <c r="C165">
        <v>4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>
        <v>3</v>
      </c>
      <c r="K165">
        <v>2</v>
      </c>
      <c r="L165">
        <v>2</v>
      </c>
      <c r="M165">
        <v>7</v>
      </c>
      <c r="N165" t="s">
        <v>14</v>
      </c>
      <c r="O165">
        <f xml:space="preserve"> 表1[[#This Row],[Thallium]]*0.6</f>
        <v>4.2</v>
      </c>
    </row>
    <row r="166" spans="1:15" x14ac:dyDescent="0.3">
      <c r="A166">
        <v>43</v>
      </c>
      <c r="B166">
        <v>1</v>
      </c>
      <c r="C166">
        <v>4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>
        <v>0</v>
      </c>
      <c r="K166">
        <v>1</v>
      </c>
      <c r="L166">
        <v>0</v>
      </c>
      <c r="M166">
        <v>7</v>
      </c>
      <c r="N166" t="s">
        <v>15</v>
      </c>
      <c r="O166">
        <f xml:space="preserve"> 表1[[#This Row],[Thallium]]*0.6</f>
        <v>4.2</v>
      </c>
    </row>
    <row r="167" spans="1:15" x14ac:dyDescent="0.3">
      <c r="A167">
        <v>64</v>
      </c>
      <c r="B167">
        <v>0</v>
      </c>
      <c r="C167">
        <v>4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>
        <v>0</v>
      </c>
      <c r="K167">
        <v>1</v>
      </c>
      <c r="L167">
        <v>0</v>
      </c>
      <c r="M167">
        <v>3</v>
      </c>
      <c r="N167" t="s">
        <v>15</v>
      </c>
      <c r="O167">
        <f xml:space="preserve"> 表1[[#This Row],[Thallium]]*0.6</f>
        <v>1.7999999999999998</v>
      </c>
    </row>
    <row r="168" spans="1:15" x14ac:dyDescent="0.3">
      <c r="A168">
        <v>50</v>
      </c>
      <c r="B168">
        <v>0</v>
      </c>
      <c r="C168">
        <v>4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>
        <v>0</v>
      </c>
      <c r="K168">
        <v>1</v>
      </c>
      <c r="L168">
        <v>0</v>
      </c>
      <c r="M168">
        <v>3</v>
      </c>
      <c r="N168" t="s">
        <v>15</v>
      </c>
      <c r="O168">
        <f xml:space="preserve"> 表1[[#This Row],[Thallium]]*0.6</f>
        <v>1.7999999999999998</v>
      </c>
    </row>
    <row r="169" spans="1:15" x14ac:dyDescent="0.3">
      <c r="A169">
        <v>53</v>
      </c>
      <c r="B169">
        <v>1</v>
      </c>
      <c r="C169">
        <v>3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>
        <v>1.2</v>
      </c>
      <c r="K169">
        <v>3</v>
      </c>
      <c r="L169">
        <v>0</v>
      </c>
      <c r="M169">
        <v>3</v>
      </c>
      <c r="N169" t="s">
        <v>15</v>
      </c>
      <c r="O169">
        <f xml:space="preserve"> 表1[[#This Row],[Thallium]]*0.6</f>
        <v>1.7999999999999998</v>
      </c>
    </row>
    <row r="170" spans="1:15" x14ac:dyDescent="0.3">
      <c r="A170">
        <v>45</v>
      </c>
      <c r="B170">
        <v>0</v>
      </c>
      <c r="C170">
        <v>4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>
        <v>0.2</v>
      </c>
      <c r="K170">
        <v>2</v>
      </c>
      <c r="L170">
        <v>0</v>
      </c>
      <c r="M170">
        <v>3</v>
      </c>
      <c r="N170" t="s">
        <v>15</v>
      </c>
      <c r="O170">
        <f xml:space="preserve"> 表1[[#This Row],[Thallium]]*0.6</f>
        <v>1.7999999999999998</v>
      </c>
    </row>
    <row r="171" spans="1:15" x14ac:dyDescent="0.3">
      <c r="A171">
        <v>65</v>
      </c>
      <c r="B171">
        <v>1</v>
      </c>
      <c r="C171">
        <v>1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>
        <v>1.4</v>
      </c>
      <c r="K171">
        <v>2</v>
      </c>
      <c r="L171">
        <v>1</v>
      </c>
      <c r="M171">
        <v>3</v>
      </c>
      <c r="N171" t="s">
        <v>14</v>
      </c>
      <c r="O171">
        <f xml:space="preserve"> 表1[[#This Row],[Thallium]]*0.6</f>
        <v>1.7999999999999998</v>
      </c>
    </row>
    <row r="172" spans="1:15" x14ac:dyDescent="0.3">
      <c r="A172">
        <v>69</v>
      </c>
      <c r="B172">
        <v>1</v>
      </c>
      <c r="C172">
        <v>1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>
        <v>0.1</v>
      </c>
      <c r="K172">
        <v>2</v>
      </c>
      <c r="L172">
        <v>1</v>
      </c>
      <c r="M172">
        <v>3</v>
      </c>
      <c r="N172" t="s">
        <v>15</v>
      </c>
      <c r="O172">
        <f xml:space="preserve"> 表1[[#This Row],[Thallium]]*0.6</f>
        <v>1.7999999999999998</v>
      </c>
    </row>
    <row r="173" spans="1:15" x14ac:dyDescent="0.3">
      <c r="A173">
        <v>69</v>
      </c>
      <c r="B173">
        <v>1</v>
      </c>
      <c r="C173">
        <v>3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>
        <v>2</v>
      </c>
      <c r="K173">
        <v>2</v>
      </c>
      <c r="L173">
        <v>3</v>
      </c>
      <c r="M173">
        <v>7</v>
      </c>
      <c r="N173" t="s">
        <v>14</v>
      </c>
      <c r="O173">
        <f xml:space="preserve"> 表1[[#This Row],[Thallium]]*0.6</f>
        <v>4.2</v>
      </c>
    </row>
    <row r="174" spans="1:15" x14ac:dyDescent="0.3">
      <c r="A174">
        <v>67</v>
      </c>
      <c r="B174">
        <v>1</v>
      </c>
      <c r="C174">
        <v>4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>
        <v>0.9</v>
      </c>
      <c r="K174">
        <v>2</v>
      </c>
      <c r="L174">
        <v>2</v>
      </c>
      <c r="M174">
        <v>3</v>
      </c>
      <c r="N174" t="s">
        <v>14</v>
      </c>
      <c r="O174">
        <f xml:space="preserve"> 表1[[#This Row],[Thallium]]*0.6</f>
        <v>1.7999999999999998</v>
      </c>
    </row>
    <row r="175" spans="1:15" x14ac:dyDescent="0.3">
      <c r="A175">
        <v>68</v>
      </c>
      <c r="B175">
        <v>0</v>
      </c>
      <c r="C175">
        <v>3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>
        <v>1.5</v>
      </c>
      <c r="K175">
        <v>2</v>
      </c>
      <c r="L175">
        <v>0</v>
      </c>
      <c r="M175">
        <v>3</v>
      </c>
      <c r="N175" t="s">
        <v>15</v>
      </c>
      <c r="O175">
        <f xml:space="preserve"> 表1[[#This Row],[Thallium]]*0.6</f>
        <v>1.7999999999999998</v>
      </c>
    </row>
    <row r="176" spans="1:15" x14ac:dyDescent="0.3">
      <c r="A176">
        <v>34</v>
      </c>
      <c r="B176">
        <v>1</v>
      </c>
      <c r="C176">
        <v>1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>
        <v>0</v>
      </c>
      <c r="K176">
        <v>1</v>
      </c>
      <c r="L176">
        <v>0</v>
      </c>
      <c r="M176">
        <v>3</v>
      </c>
      <c r="N176" t="s">
        <v>15</v>
      </c>
      <c r="O176">
        <f xml:space="preserve"> 表1[[#This Row],[Thallium]]*0.6</f>
        <v>1.7999999999999998</v>
      </c>
    </row>
    <row r="177" spans="1:15" x14ac:dyDescent="0.3">
      <c r="A177">
        <v>62</v>
      </c>
      <c r="B177">
        <v>0</v>
      </c>
      <c r="C177">
        <v>4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>
        <v>1.9</v>
      </c>
      <c r="K177">
        <v>2</v>
      </c>
      <c r="L177">
        <v>3</v>
      </c>
      <c r="M177">
        <v>3</v>
      </c>
      <c r="N177" t="s">
        <v>14</v>
      </c>
      <c r="O177">
        <f xml:space="preserve"> 表1[[#This Row],[Thallium]]*0.6</f>
        <v>1.7999999999999998</v>
      </c>
    </row>
    <row r="178" spans="1:15" x14ac:dyDescent="0.3">
      <c r="A178">
        <v>51</v>
      </c>
      <c r="B178">
        <v>1</v>
      </c>
      <c r="C178">
        <v>4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>
        <v>4.2</v>
      </c>
      <c r="K178">
        <v>2</v>
      </c>
      <c r="L178">
        <v>3</v>
      </c>
      <c r="M178">
        <v>7</v>
      </c>
      <c r="N178" t="s">
        <v>14</v>
      </c>
      <c r="O178">
        <f xml:space="preserve"> 表1[[#This Row],[Thallium]]*0.6</f>
        <v>4.2</v>
      </c>
    </row>
    <row r="179" spans="1:15" x14ac:dyDescent="0.3">
      <c r="A179">
        <v>46</v>
      </c>
      <c r="B179">
        <v>1</v>
      </c>
      <c r="C179">
        <v>3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>
        <v>3.6</v>
      </c>
      <c r="K179">
        <v>2</v>
      </c>
      <c r="L179">
        <v>0</v>
      </c>
      <c r="M179">
        <v>3</v>
      </c>
      <c r="N179" t="s">
        <v>14</v>
      </c>
      <c r="O179">
        <f xml:space="preserve"> 表1[[#This Row],[Thallium]]*0.6</f>
        <v>1.7999999999999998</v>
      </c>
    </row>
    <row r="180" spans="1:15" x14ac:dyDescent="0.3">
      <c r="A180">
        <v>67</v>
      </c>
      <c r="B180">
        <v>1</v>
      </c>
      <c r="C180">
        <v>4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>
        <v>0.2</v>
      </c>
      <c r="K180">
        <v>2</v>
      </c>
      <c r="L180">
        <v>2</v>
      </c>
      <c r="M180">
        <v>7</v>
      </c>
      <c r="N180" t="s">
        <v>14</v>
      </c>
      <c r="O180">
        <f xml:space="preserve"> 表1[[#This Row],[Thallium]]*0.6</f>
        <v>4.2</v>
      </c>
    </row>
    <row r="181" spans="1:15" x14ac:dyDescent="0.3">
      <c r="A181">
        <v>50</v>
      </c>
      <c r="B181">
        <v>1</v>
      </c>
      <c r="C181">
        <v>3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>
        <v>0</v>
      </c>
      <c r="K181">
        <v>1</v>
      </c>
      <c r="L181">
        <v>0</v>
      </c>
      <c r="M181">
        <v>3</v>
      </c>
      <c r="N181" t="s">
        <v>15</v>
      </c>
      <c r="O181">
        <f xml:space="preserve"> 表1[[#This Row],[Thallium]]*0.6</f>
        <v>1.7999999999999998</v>
      </c>
    </row>
    <row r="182" spans="1:15" x14ac:dyDescent="0.3">
      <c r="A182">
        <v>42</v>
      </c>
      <c r="B182">
        <v>1</v>
      </c>
      <c r="C182">
        <v>3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>
        <v>0.8</v>
      </c>
      <c r="K182">
        <v>3</v>
      </c>
      <c r="L182">
        <v>0</v>
      </c>
      <c r="M182">
        <v>7</v>
      </c>
      <c r="N182" t="s">
        <v>15</v>
      </c>
      <c r="O182">
        <f xml:space="preserve"> 表1[[#This Row],[Thallium]]*0.6</f>
        <v>4.2</v>
      </c>
    </row>
    <row r="183" spans="1:15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>
        <v>7</v>
      </c>
      <c r="N183" t="s">
        <v>14</v>
      </c>
      <c r="O183">
        <f xml:space="preserve"> 表1[[#This Row],[Thallium]]*0.6</f>
        <v>4.2</v>
      </c>
    </row>
    <row r="184" spans="1:15" x14ac:dyDescent="0.3">
      <c r="A184">
        <v>41</v>
      </c>
      <c r="B184">
        <v>1</v>
      </c>
      <c r="C184">
        <v>4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>
        <v>0</v>
      </c>
      <c r="K184">
        <v>1</v>
      </c>
      <c r="L184">
        <v>0</v>
      </c>
      <c r="M184">
        <v>7</v>
      </c>
      <c r="N184" t="s">
        <v>14</v>
      </c>
      <c r="O184">
        <f xml:space="preserve"> 表1[[#This Row],[Thallium]]*0.6</f>
        <v>4.2</v>
      </c>
    </row>
    <row r="185" spans="1:15" x14ac:dyDescent="0.3">
      <c r="A185">
        <v>42</v>
      </c>
      <c r="B185">
        <v>0</v>
      </c>
      <c r="C185">
        <v>4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>
        <v>0.6</v>
      </c>
      <c r="K185">
        <v>2</v>
      </c>
      <c r="L185">
        <v>0</v>
      </c>
      <c r="M185">
        <v>3</v>
      </c>
      <c r="N185" t="s">
        <v>15</v>
      </c>
      <c r="O185">
        <f xml:space="preserve"> 表1[[#This Row],[Thallium]]*0.6</f>
        <v>1.7999999999999998</v>
      </c>
    </row>
    <row r="186" spans="1:15" x14ac:dyDescent="0.3">
      <c r="A186">
        <v>53</v>
      </c>
      <c r="B186">
        <v>1</v>
      </c>
      <c r="C186">
        <v>3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>
        <v>0</v>
      </c>
      <c r="K186">
        <v>1</v>
      </c>
      <c r="L186">
        <v>3</v>
      </c>
      <c r="M186">
        <v>3</v>
      </c>
      <c r="N186" t="s">
        <v>15</v>
      </c>
      <c r="O186">
        <f xml:space="preserve"> 表1[[#This Row],[Thallium]]*0.6</f>
        <v>1.7999999999999998</v>
      </c>
    </row>
    <row r="187" spans="1:15" x14ac:dyDescent="0.3">
      <c r="A187">
        <v>43</v>
      </c>
      <c r="B187">
        <v>1</v>
      </c>
      <c r="C187">
        <v>3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>
        <v>1.9</v>
      </c>
      <c r="K187">
        <v>1</v>
      </c>
      <c r="L187">
        <v>1</v>
      </c>
      <c r="M187">
        <v>3</v>
      </c>
      <c r="N187" t="s">
        <v>15</v>
      </c>
      <c r="O187">
        <f xml:space="preserve"> 表1[[#This Row],[Thallium]]*0.6</f>
        <v>1.7999999999999998</v>
      </c>
    </row>
    <row r="188" spans="1:15" x14ac:dyDescent="0.3">
      <c r="A188">
        <v>56</v>
      </c>
      <c r="B188">
        <v>1</v>
      </c>
      <c r="C188">
        <v>4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>
        <v>2.1</v>
      </c>
      <c r="K188">
        <v>2</v>
      </c>
      <c r="L188">
        <v>1</v>
      </c>
      <c r="M188">
        <v>6</v>
      </c>
      <c r="N188" t="s">
        <v>14</v>
      </c>
      <c r="O188">
        <f xml:space="preserve"> 表1[[#This Row],[Thallium]]*0.6</f>
        <v>3.5999999999999996</v>
      </c>
    </row>
    <row r="189" spans="1:15" x14ac:dyDescent="0.3">
      <c r="A189">
        <v>52</v>
      </c>
      <c r="B189">
        <v>1</v>
      </c>
      <c r="C189">
        <v>4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>
        <v>0.1</v>
      </c>
      <c r="K189">
        <v>1</v>
      </c>
      <c r="L189">
        <v>3</v>
      </c>
      <c r="M189">
        <v>7</v>
      </c>
      <c r="N189" t="s">
        <v>15</v>
      </c>
      <c r="O189">
        <f xml:space="preserve"> 表1[[#This Row],[Thallium]]*0.6</f>
        <v>4.2</v>
      </c>
    </row>
    <row r="190" spans="1:15" x14ac:dyDescent="0.3">
      <c r="A190">
        <v>62</v>
      </c>
      <c r="B190">
        <v>0</v>
      </c>
      <c r="C190">
        <v>4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2</v>
      </c>
      <c r="L190">
        <v>0</v>
      </c>
      <c r="M190">
        <v>3</v>
      </c>
      <c r="N190" t="s">
        <v>15</v>
      </c>
      <c r="O190">
        <f xml:space="preserve"> 表1[[#This Row],[Thallium]]*0.6</f>
        <v>1.7999999999999998</v>
      </c>
    </row>
    <row r="191" spans="1:15" x14ac:dyDescent="0.3">
      <c r="A191">
        <v>70</v>
      </c>
      <c r="B191">
        <v>1</v>
      </c>
      <c r="C191">
        <v>3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>
        <v>2.9</v>
      </c>
      <c r="K191">
        <v>2</v>
      </c>
      <c r="L191">
        <v>1</v>
      </c>
      <c r="M191">
        <v>7</v>
      </c>
      <c r="N191" t="s">
        <v>14</v>
      </c>
      <c r="O191">
        <f xml:space="preserve"> 表1[[#This Row],[Thallium]]*0.6</f>
        <v>4.2</v>
      </c>
    </row>
    <row r="192" spans="1:15" x14ac:dyDescent="0.3">
      <c r="A192">
        <v>54</v>
      </c>
      <c r="B192">
        <v>1</v>
      </c>
      <c r="C192">
        <v>4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>
        <v>1.2</v>
      </c>
      <c r="K192">
        <v>1</v>
      </c>
      <c r="L192">
        <v>0</v>
      </c>
      <c r="M192">
        <v>3</v>
      </c>
      <c r="N192" t="s">
        <v>15</v>
      </c>
      <c r="O192">
        <f xml:space="preserve"> 表1[[#This Row],[Thallium]]*0.6</f>
        <v>1.7999999999999998</v>
      </c>
    </row>
    <row r="193" spans="1:15" x14ac:dyDescent="0.3">
      <c r="A193">
        <v>70</v>
      </c>
      <c r="B193">
        <v>1</v>
      </c>
      <c r="C193">
        <v>4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>
        <v>2.6</v>
      </c>
      <c r="K193">
        <v>3</v>
      </c>
      <c r="L193">
        <v>0</v>
      </c>
      <c r="M193">
        <v>7</v>
      </c>
      <c r="N193" t="s">
        <v>14</v>
      </c>
      <c r="O193">
        <f xml:space="preserve"> 表1[[#This Row],[Thallium]]*0.6</f>
        <v>4.2</v>
      </c>
    </row>
    <row r="194" spans="1:15" x14ac:dyDescent="0.3">
      <c r="A194">
        <v>54</v>
      </c>
      <c r="B194">
        <v>1</v>
      </c>
      <c r="C194">
        <v>2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>
        <v>0</v>
      </c>
      <c r="K194">
        <v>1</v>
      </c>
      <c r="L194">
        <v>0</v>
      </c>
      <c r="M194">
        <v>7</v>
      </c>
      <c r="N194" t="s">
        <v>15</v>
      </c>
      <c r="O194">
        <f xml:space="preserve"> 表1[[#This Row],[Thallium]]*0.6</f>
        <v>4.2</v>
      </c>
    </row>
    <row r="195" spans="1:15" x14ac:dyDescent="0.3">
      <c r="A195">
        <v>35</v>
      </c>
      <c r="B195">
        <v>1</v>
      </c>
      <c r="C195">
        <v>4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>
        <v>0</v>
      </c>
      <c r="K195">
        <v>1</v>
      </c>
      <c r="L195">
        <v>0</v>
      </c>
      <c r="M195">
        <v>7</v>
      </c>
      <c r="N195" t="s">
        <v>14</v>
      </c>
      <c r="O195">
        <f xml:space="preserve"> 表1[[#This Row],[Thallium]]*0.6</f>
        <v>4.2</v>
      </c>
    </row>
    <row r="196" spans="1:15" x14ac:dyDescent="0.3">
      <c r="A196">
        <v>48</v>
      </c>
      <c r="B196">
        <v>1</v>
      </c>
      <c r="C196">
        <v>3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>
        <v>0</v>
      </c>
      <c r="K196">
        <v>1</v>
      </c>
      <c r="L196">
        <v>2</v>
      </c>
      <c r="M196">
        <v>3</v>
      </c>
      <c r="N196" t="s">
        <v>15</v>
      </c>
      <c r="O196">
        <f xml:space="preserve"> 表1[[#This Row],[Thallium]]*0.6</f>
        <v>1.7999999999999998</v>
      </c>
    </row>
    <row r="197" spans="1:15" x14ac:dyDescent="0.3">
      <c r="A197">
        <v>55</v>
      </c>
      <c r="B197">
        <v>0</v>
      </c>
      <c r="C197">
        <v>2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>
        <v>1.4</v>
      </c>
      <c r="K197">
        <v>2</v>
      </c>
      <c r="L197">
        <v>0</v>
      </c>
      <c r="M197">
        <v>3</v>
      </c>
      <c r="N197" t="s">
        <v>15</v>
      </c>
      <c r="O197">
        <f xml:space="preserve"> 表1[[#This Row],[Thallium]]*0.6</f>
        <v>1.7999999999999998</v>
      </c>
    </row>
    <row r="198" spans="1:15" x14ac:dyDescent="0.3">
      <c r="A198">
        <v>58</v>
      </c>
      <c r="B198">
        <v>0</v>
      </c>
      <c r="C198">
        <v>4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>
        <v>1</v>
      </c>
      <c r="K198">
        <v>2</v>
      </c>
      <c r="L198">
        <v>0</v>
      </c>
      <c r="M198">
        <v>3</v>
      </c>
      <c r="N198" t="s">
        <v>15</v>
      </c>
      <c r="O198">
        <f xml:space="preserve"> 表1[[#This Row],[Thallium]]*0.6</f>
        <v>1.7999999999999998</v>
      </c>
    </row>
    <row r="199" spans="1:15" x14ac:dyDescent="0.3">
      <c r="A199">
        <v>54</v>
      </c>
      <c r="B199">
        <v>0</v>
      </c>
      <c r="C199">
        <v>3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>
        <v>1.6</v>
      </c>
      <c r="K199">
        <v>2</v>
      </c>
      <c r="L199">
        <v>0</v>
      </c>
      <c r="M199">
        <v>3</v>
      </c>
      <c r="N199" t="s">
        <v>15</v>
      </c>
      <c r="O199">
        <f xml:space="preserve"> 表1[[#This Row],[Thallium]]*0.6</f>
        <v>1.7999999999999998</v>
      </c>
    </row>
    <row r="200" spans="1:15" x14ac:dyDescent="0.3">
      <c r="A200">
        <v>69</v>
      </c>
      <c r="B200">
        <v>0</v>
      </c>
      <c r="C200">
        <v>1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>
        <v>1.8</v>
      </c>
      <c r="K200">
        <v>1</v>
      </c>
      <c r="L200">
        <v>2</v>
      </c>
      <c r="M200">
        <v>3</v>
      </c>
      <c r="N200" t="s">
        <v>15</v>
      </c>
      <c r="O200">
        <f xml:space="preserve"> 表1[[#This Row],[Thallium]]*0.6</f>
        <v>1.7999999999999998</v>
      </c>
    </row>
    <row r="201" spans="1:15" x14ac:dyDescent="0.3">
      <c r="A201">
        <v>77</v>
      </c>
      <c r="B201">
        <v>1</v>
      </c>
      <c r="C201">
        <v>4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>
        <v>0</v>
      </c>
      <c r="K201">
        <v>1</v>
      </c>
      <c r="L201">
        <v>3</v>
      </c>
      <c r="M201">
        <v>3</v>
      </c>
      <c r="N201" t="s">
        <v>14</v>
      </c>
      <c r="O201">
        <f xml:space="preserve"> 表1[[#This Row],[Thallium]]*0.6</f>
        <v>1.7999999999999998</v>
      </c>
    </row>
    <row r="202" spans="1:15" x14ac:dyDescent="0.3">
      <c r="A202">
        <v>68</v>
      </c>
      <c r="B202">
        <v>1</v>
      </c>
      <c r="C202">
        <v>3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>
        <v>1</v>
      </c>
      <c r="K202">
        <v>1</v>
      </c>
      <c r="L202">
        <v>1</v>
      </c>
      <c r="M202">
        <v>7</v>
      </c>
      <c r="N202" t="s">
        <v>15</v>
      </c>
      <c r="O202">
        <f xml:space="preserve"> 表1[[#This Row],[Thallium]]*0.6</f>
        <v>4.2</v>
      </c>
    </row>
    <row r="203" spans="1:15" x14ac:dyDescent="0.3">
      <c r="A203">
        <v>58</v>
      </c>
      <c r="B203">
        <v>1</v>
      </c>
      <c r="C203">
        <v>4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>
        <v>0</v>
      </c>
      <c r="K203">
        <v>1</v>
      </c>
      <c r="L203">
        <v>2</v>
      </c>
      <c r="M203">
        <v>7</v>
      </c>
      <c r="N203" t="s">
        <v>14</v>
      </c>
      <c r="O203">
        <f xml:space="preserve"> 表1[[#This Row],[Thallium]]*0.6</f>
        <v>4.2</v>
      </c>
    </row>
    <row r="204" spans="1:15" x14ac:dyDescent="0.3">
      <c r="A204">
        <v>60</v>
      </c>
      <c r="B204">
        <v>1</v>
      </c>
      <c r="C204">
        <v>4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>
        <v>2.8</v>
      </c>
      <c r="K204">
        <v>2</v>
      </c>
      <c r="L204">
        <v>1</v>
      </c>
      <c r="M204">
        <v>7</v>
      </c>
      <c r="N204" t="s">
        <v>14</v>
      </c>
      <c r="O204">
        <f xml:space="preserve"> 表1[[#This Row],[Thallium]]*0.6</f>
        <v>4.2</v>
      </c>
    </row>
    <row r="205" spans="1:15" x14ac:dyDescent="0.3">
      <c r="A205">
        <v>51</v>
      </c>
      <c r="B205">
        <v>1</v>
      </c>
      <c r="C205">
        <v>4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>
        <v>1.6</v>
      </c>
      <c r="K205">
        <v>1</v>
      </c>
      <c r="L205">
        <v>0</v>
      </c>
      <c r="M205">
        <v>7</v>
      </c>
      <c r="N205" t="s">
        <v>14</v>
      </c>
      <c r="O205">
        <f xml:space="preserve"> 表1[[#This Row],[Thallium]]*0.6</f>
        <v>4.2</v>
      </c>
    </row>
    <row r="206" spans="1:15" x14ac:dyDescent="0.3">
      <c r="A206">
        <v>55</v>
      </c>
      <c r="B206">
        <v>1</v>
      </c>
      <c r="C206">
        <v>4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>
        <v>0.8</v>
      </c>
      <c r="K206">
        <v>2</v>
      </c>
      <c r="L206">
        <v>1</v>
      </c>
      <c r="M206">
        <v>7</v>
      </c>
      <c r="N206" t="s">
        <v>14</v>
      </c>
      <c r="O206">
        <f xml:space="preserve"> 表1[[#This Row],[Thallium]]*0.6</f>
        <v>4.2</v>
      </c>
    </row>
    <row r="207" spans="1:15" x14ac:dyDescent="0.3">
      <c r="A207">
        <v>52</v>
      </c>
      <c r="B207">
        <v>1</v>
      </c>
      <c r="C207">
        <v>1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>
        <v>1.2</v>
      </c>
      <c r="K207">
        <v>2</v>
      </c>
      <c r="L207">
        <v>0</v>
      </c>
      <c r="M207">
        <v>7</v>
      </c>
      <c r="N207" t="s">
        <v>15</v>
      </c>
      <c r="O207">
        <f xml:space="preserve"> 表1[[#This Row],[Thallium]]*0.6</f>
        <v>4.2</v>
      </c>
    </row>
    <row r="208" spans="1:15" x14ac:dyDescent="0.3">
      <c r="A208">
        <v>60</v>
      </c>
      <c r="B208">
        <v>0</v>
      </c>
      <c r="C208">
        <v>3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>
        <v>0</v>
      </c>
      <c r="K208">
        <v>1</v>
      </c>
      <c r="L208">
        <v>1</v>
      </c>
      <c r="M208">
        <v>3</v>
      </c>
      <c r="N208" t="s">
        <v>15</v>
      </c>
      <c r="O208">
        <f xml:space="preserve"> 表1[[#This Row],[Thallium]]*0.6</f>
        <v>1.7999999999999998</v>
      </c>
    </row>
    <row r="209" spans="1:15" x14ac:dyDescent="0.3">
      <c r="A209">
        <v>58</v>
      </c>
      <c r="B209">
        <v>1</v>
      </c>
      <c r="C209">
        <v>3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>
        <v>0.6</v>
      </c>
      <c r="K209">
        <v>2</v>
      </c>
      <c r="L209">
        <v>0</v>
      </c>
      <c r="M209">
        <v>7</v>
      </c>
      <c r="N209" t="s">
        <v>15</v>
      </c>
      <c r="O209">
        <f xml:space="preserve"> 表1[[#This Row],[Thallium]]*0.6</f>
        <v>4.2</v>
      </c>
    </row>
    <row r="210" spans="1:15" x14ac:dyDescent="0.3">
      <c r="A210">
        <v>64</v>
      </c>
      <c r="B210">
        <v>1</v>
      </c>
      <c r="C210">
        <v>3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>
        <v>1.8</v>
      </c>
      <c r="K210">
        <v>2</v>
      </c>
      <c r="L210">
        <v>0</v>
      </c>
      <c r="M210">
        <v>7</v>
      </c>
      <c r="N210" t="s">
        <v>14</v>
      </c>
      <c r="O210">
        <f xml:space="preserve"> 表1[[#This Row],[Thallium]]*0.6</f>
        <v>4.2</v>
      </c>
    </row>
    <row r="211" spans="1:15" x14ac:dyDescent="0.3">
      <c r="A211">
        <v>37</v>
      </c>
      <c r="B211">
        <v>1</v>
      </c>
      <c r="C211">
        <v>3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>
        <v>3.5</v>
      </c>
      <c r="K211">
        <v>3</v>
      </c>
      <c r="L211">
        <v>0</v>
      </c>
      <c r="M211">
        <v>3</v>
      </c>
      <c r="N211" t="s">
        <v>15</v>
      </c>
      <c r="O211">
        <f xml:space="preserve"> 表1[[#This Row],[Thallium]]*0.6</f>
        <v>1.7999999999999998</v>
      </c>
    </row>
    <row r="212" spans="1:15" x14ac:dyDescent="0.3">
      <c r="A212">
        <v>59</v>
      </c>
      <c r="B212">
        <v>1</v>
      </c>
      <c r="C212">
        <v>1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>
        <v>0.2</v>
      </c>
      <c r="K212">
        <v>2</v>
      </c>
      <c r="L212">
        <v>0</v>
      </c>
      <c r="M212">
        <v>7</v>
      </c>
      <c r="N212" t="s">
        <v>14</v>
      </c>
      <c r="O212">
        <f xml:space="preserve"> 表1[[#This Row],[Thallium]]*0.6</f>
        <v>4.2</v>
      </c>
    </row>
    <row r="213" spans="1:15" x14ac:dyDescent="0.3">
      <c r="A213">
        <v>51</v>
      </c>
      <c r="B213">
        <v>1</v>
      </c>
      <c r="C213">
        <v>3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>
        <v>2.4</v>
      </c>
      <c r="K213">
        <v>2</v>
      </c>
      <c r="L213">
        <v>0</v>
      </c>
      <c r="M213">
        <v>3</v>
      </c>
      <c r="N213" t="s">
        <v>15</v>
      </c>
      <c r="O213">
        <f xml:space="preserve"> 表1[[#This Row],[Thallium]]*0.6</f>
        <v>1.7999999999999998</v>
      </c>
    </row>
    <row r="214" spans="1:15" x14ac:dyDescent="0.3">
      <c r="A214">
        <v>43</v>
      </c>
      <c r="B214">
        <v>0</v>
      </c>
      <c r="C214">
        <v>3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>
        <v>0.2</v>
      </c>
      <c r="K214">
        <v>2</v>
      </c>
      <c r="L214">
        <v>0</v>
      </c>
      <c r="M214">
        <v>3</v>
      </c>
      <c r="N214" t="s">
        <v>15</v>
      </c>
      <c r="O214">
        <f xml:space="preserve"> 表1[[#This Row],[Thallium]]*0.6</f>
        <v>1.7999999999999998</v>
      </c>
    </row>
    <row r="215" spans="1:15" x14ac:dyDescent="0.3">
      <c r="A215">
        <v>58</v>
      </c>
      <c r="B215">
        <v>1</v>
      </c>
      <c r="C215">
        <v>4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>
        <v>2.2000000000000002</v>
      </c>
      <c r="K215">
        <v>2</v>
      </c>
      <c r="L215">
        <v>3</v>
      </c>
      <c r="M215">
        <v>7</v>
      </c>
      <c r="N215" t="s">
        <v>14</v>
      </c>
      <c r="O215">
        <f xml:space="preserve"> 表1[[#This Row],[Thallium]]*0.6</f>
        <v>4.2</v>
      </c>
    </row>
    <row r="216" spans="1:15" x14ac:dyDescent="0.3">
      <c r="A216">
        <v>29</v>
      </c>
      <c r="B216">
        <v>1</v>
      </c>
      <c r="C216">
        <v>2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>
        <v>0</v>
      </c>
      <c r="K216">
        <v>1</v>
      </c>
      <c r="L216">
        <v>0</v>
      </c>
      <c r="M216">
        <v>3</v>
      </c>
      <c r="N216" t="s">
        <v>15</v>
      </c>
      <c r="O216">
        <f xml:space="preserve"> 表1[[#This Row],[Thallium]]*0.6</f>
        <v>1.7999999999999998</v>
      </c>
    </row>
    <row r="217" spans="1:15" x14ac:dyDescent="0.3">
      <c r="A217">
        <v>41</v>
      </c>
      <c r="B217">
        <v>0</v>
      </c>
      <c r="C217">
        <v>2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>
        <v>1.4</v>
      </c>
      <c r="K217">
        <v>1</v>
      </c>
      <c r="L217">
        <v>0</v>
      </c>
      <c r="M217">
        <v>3</v>
      </c>
      <c r="N217" t="s">
        <v>15</v>
      </c>
      <c r="O217">
        <f xml:space="preserve"> 表1[[#This Row],[Thallium]]*0.6</f>
        <v>1.7999999999999998</v>
      </c>
    </row>
    <row r="218" spans="1:15" x14ac:dyDescent="0.3">
      <c r="A218">
        <v>63</v>
      </c>
      <c r="B218">
        <v>0</v>
      </c>
      <c r="C218">
        <v>3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>
        <v>0</v>
      </c>
      <c r="K218">
        <v>1</v>
      </c>
      <c r="L218">
        <v>0</v>
      </c>
      <c r="M218">
        <v>3</v>
      </c>
      <c r="N218" t="s">
        <v>15</v>
      </c>
      <c r="O218">
        <f xml:space="preserve"> 表1[[#This Row],[Thallium]]*0.6</f>
        <v>1.7999999999999998</v>
      </c>
    </row>
    <row r="219" spans="1:15" x14ac:dyDescent="0.3">
      <c r="A219">
        <v>51</v>
      </c>
      <c r="B219">
        <v>1</v>
      </c>
      <c r="C219">
        <v>3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>
        <v>0</v>
      </c>
      <c r="K219">
        <v>1</v>
      </c>
      <c r="L219">
        <v>1</v>
      </c>
      <c r="M219">
        <v>7</v>
      </c>
      <c r="N219" t="s">
        <v>15</v>
      </c>
      <c r="O219">
        <f xml:space="preserve"> 表1[[#This Row],[Thallium]]*0.6</f>
        <v>4.2</v>
      </c>
    </row>
    <row r="220" spans="1:15" x14ac:dyDescent="0.3">
      <c r="A220">
        <v>54</v>
      </c>
      <c r="B220">
        <v>1</v>
      </c>
      <c r="C220">
        <v>3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>
        <v>0.4</v>
      </c>
      <c r="K220">
        <v>2</v>
      </c>
      <c r="L220">
        <v>0</v>
      </c>
      <c r="M220">
        <v>7</v>
      </c>
      <c r="N220" t="s">
        <v>15</v>
      </c>
      <c r="O220">
        <f xml:space="preserve"> 表1[[#This Row],[Thallium]]*0.6</f>
        <v>4.2</v>
      </c>
    </row>
    <row r="221" spans="1:15" x14ac:dyDescent="0.3">
      <c r="A221">
        <v>44</v>
      </c>
      <c r="B221">
        <v>1</v>
      </c>
      <c r="C221">
        <v>2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>
        <v>0</v>
      </c>
      <c r="K221">
        <v>1</v>
      </c>
      <c r="L221">
        <v>0</v>
      </c>
      <c r="M221">
        <v>3</v>
      </c>
      <c r="N221" t="s">
        <v>15</v>
      </c>
      <c r="O221">
        <f xml:space="preserve"> 表1[[#This Row],[Thallium]]*0.6</f>
        <v>1.7999999999999998</v>
      </c>
    </row>
    <row r="222" spans="1:15" x14ac:dyDescent="0.3">
      <c r="A222">
        <v>54</v>
      </c>
      <c r="B222">
        <v>1</v>
      </c>
      <c r="C222">
        <v>4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>
        <v>2.8</v>
      </c>
      <c r="K222">
        <v>2</v>
      </c>
      <c r="L222">
        <v>1</v>
      </c>
      <c r="M222">
        <v>7</v>
      </c>
      <c r="N222" t="s">
        <v>14</v>
      </c>
      <c r="O222">
        <f xml:space="preserve"> 表1[[#This Row],[Thallium]]*0.6</f>
        <v>4.2</v>
      </c>
    </row>
    <row r="223" spans="1:15" x14ac:dyDescent="0.3">
      <c r="A223">
        <v>65</v>
      </c>
      <c r="B223">
        <v>1</v>
      </c>
      <c r="C223">
        <v>4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>
        <v>2.8</v>
      </c>
      <c r="K223">
        <v>2</v>
      </c>
      <c r="L223">
        <v>1</v>
      </c>
      <c r="M223">
        <v>7</v>
      </c>
      <c r="N223" t="s">
        <v>14</v>
      </c>
      <c r="O223">
        <f xml:space="preserve"> 表1[[#This Row],[Thallium]]*0.6</f>
        <v>4.2</v>
      </c>
    </row>
    <row r="224" spans="1:15" x14ac:dyDescent="0.3">
      <c r="A224">
        <v>57</v>
      </c>
      <c r="B224">
        <v>1</v>
      </c>
      <c r="C224">
        <v>3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>
        <v>1.6</v>
      </c>
      <c r="K224">
        <v>1</v>
      </c>
      <c r="L224">
        <v>0</v>
      </c>
      <c r="M224">
        <v>3</v>
      </c>
      <c r="N224" t="s">
        <v>15</v>
      </c>
      <c r="O224">
        <f xml:space="preserve"> 表1[[#This Row],[Thallium]]*0.6</f>
        <v>1.7999999999999998</v>
      </c>
    </row>
    <row r="225" spans="1:15" x14ac:dyDescent="0.3">
      <c r="A225">
        <v>63</v>
      </c>
      <c r="B225">
        <v>1</v>
      </c>
      <c r="C225">
        <v>4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>
        <v>1.8</v>
      </c>
      <c r="K225">
        <v>1</v>
      </c>
      <c r="L225">
        <v>3</v>
      </c>
      <c r="M225">
        <v>7</v>
      </c>
      <c r="N225" t="s">
        <v>14</v>
      </c>
      <c r="O225">
        <f xml:space="preserve"> 表1[[#This Row],[Thallium]]*0.6</f>
        <v>4.2</v>
      </c>
    </row>
    <row r="226" spans="1:15" x14ac:dyDescent="0.3">
      <c r="A226">
        <v>35</v>
      </c>
      <c r="B226">
        <v>0</v>
      </c>
      <c r="C226">
        <v>4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>
        <v>1.4</v>
      </c>
      <c r="K226">
        <v>1</v>
      </c>
      <c r="L226">
        <v>0</v>
      </c>
      <c r="M226">
        <v>3</v>
      </c>
      <c r="N226" t="s">
        <v>15</v>
      </c>
      <c r="O226">
        <f xml:space="preserve"> 表1[[#This Row],[Thallium]]*0.6</f>
        <v>1.7999999999999998</v>
      </c>
    </row>
    <row r="227" spans="1:15" x14ac:dyDescent="0.3">
      <c r="A227">
        <v>41</v>
      </c>
      <c r="B227">
        <v>1</v>
      </c>
      <c r="C227">
        <v>2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>
        <v>0</v>
      </c>
      <c r="K227">
        <v>2</v>
      </c>
      <c r="L227">
        <v>0</v>
      </c>
      <c r="M227">
        <v>6</v>
      </c>
      <c r="N227" t="s">
        <v>15</v>
      </c>
      <c r="O227">
        <f xml:space="preserve"> 表1[[#This Row],[Thallium]]*0.6</f>
        <v>3.5999999999999996</v>
      </c>
    </row>
    <row r="228" spans="1:15" x14ac:dyDescent="0.3">
      <c r="A228">
        <v>62</v>
      </c>
      <c r="B228">
        <v>0</v>
      </c>
      <c r="C228">
        <v>3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>
        <v>1.2</v>
      </c>
      <c r="K228">
        <v>2</v>
      </c>
      <c r="L228">
        <v>1</v>
      </c>
      <c r="M228">
        <v>7</v>
      </c>
      <c r="N228" t="s">
        <v>14</v>
      </c>
      <c r="O228">
        <f xml:space="preserve"> 表1[[#This Row],[Thallium]]*0.6</f>
        <v>4.2</v>
      </c>
    </row>
    <row r="229" spans="1:15" x14ac:dyDescent="0.3">
      <c r="A229">
        <v>43</v>
      </c>
      <c r="B229">
        <v>0</v>
      </c>
      <c r="C229">
        <v>4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>
        <v>3</v>
      </c>
      <c r="K229">
        <v>2</v>
      </c>
      <c r="L229">
        <v>0</v>
      </c>
      <c r="M229">
        <v>7</v>
      </c>
      <c r="N229" t="s">
        <v>14</v>
      </c>
      <c r="O229">
        <f xml:space="preserve"> 表1[[#This Row],[Thallium]]*0.6</f>
        <v>4.2</v>
      </c>
    </row>
    <row r="230" spans="1:15" x14ac:dyDescent="0.3">
      <c r="A230">
        <v>58</v>
      </c>
      <c r="B230">
        <v>0</v>
      </c>
      <c r="C230">
        <v>1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>
        <v>1</v>
      </c>
      <c r="K230">
        <v>1</v>
      </c>
      <c r="L230">
        <v>0</v>
      </c>
      <c r="M230">
        <v>3</v>
      </c>
      <c r="N230" t="s">
        <v>15</v>
      </c>
      <c r="O230">
        <f xml:space="preserve"> 表1[[#This Row],[Thallium]]*0.6</f>
        <v>1.7999999999999998</v>
      </c>
    </row>
    <row r="231" spans="1:15" x14ac:dyDescent="0.3">
      <c r="A231">
        <v>52</v>
      </c>
      <c r="B231">
        <v>1</v>
      </c>
      <c r="C231">
        <v>1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>
        <v>0</v>
      </c>
      <c r="K231">
        <v>2</v>
      </c>
      <c r="L231">
        <v>0</v>
      </c>
      <c r="M231">
        <v>6</v>
      </c>
      <c r="N231" t="s">
        <v>15</v>
      </c>
      <c r="O231">
        <f xml:space="preserve"> 表1[[#This Row],[Thallium]]*0.6</f>
        <v>3.5999999999999996</v>
      </c>
    </row>
    <row r="232" spans="1:15" x14ac:dyDescent="0.3">
      <c r="A232">
        <v>61</v>
      </c>
      <c r="B232">
        <v>0</v>
      </c>
      <c r="C232">
        <v>4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>
        <v>1</v>
      </c>
      <c r="K232">
        <v>2</v>
      </c>
      <c r="L232">
        <v>0</v>
      </c>
      <c r="M232">
        <v>7</v>
      </c>
      <c r="N232" t="s">
        <v>14</v>
      </c>
      <c r="O232">
        <f xml:space="preserve"> 表1[[#This Row],[Thallium]]*0.6</f>
        <v>4.2</v>
      </c>
    </row>
    <row r="233" spans="1:15" x14ac:dyDescent="0.3">
      <c r="A233">
        <v>39</v>
      </c>
      <c r="B233">
        <v>1</v>
      </c>
      <c r="C233">
        <v>4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>
        <v>1.2</v>
      </c>
      <c r="K233">
        <v>2</v>
      </c>
      <c r="L233">
        <v>0</v>
      </c>
      <c r="M233">
        <v>7</v>
      </c>
      <c r="N233" t="s">
        <v>14</v>
      </c>
      <c r="O233">
        <f xml:space="preserve"> 表1[[#This Row],[Thallium]]*0.6</f>
        <v>4.2</v>
      </c>
    </row>
    <row r="234" spans="1:15" x14ac:dyDescent="0.3">
      <c r="A234">
        <v>45</v>
      </c>
      <c r="B234">
        <v>1</v>
      </c>
      <c r="C234">
        <v>4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>
        <v>0</v>
      </c>
      <c r="K234">
        <v>1</v>
      </c>
      <c r="L234">
        <v>0</v>
      </c>
      <c r="M234">
        <v>3</v>
      </c>
      <c r="N234" t="s">
        <v>15</v>
      </c>
      <c r="O234">
        <f xml:space="preserve"> 表1[[#This Row],[Thallium]]*0.6</f>
        <v>1.7999999999999998</v>
      </c>
    </row>
    <row r="235" spans="1:15" x14ac:dyDescent="0.3">
      <c r="A235">
        <v>52</v>
      </c>
      <c r="B235">
        <v>1</v>
      </c>
      <c r="C235">
        <v>4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>
        <v>0</v>
      </c>
      <c r="K235">
        <v>1</v>
      </c>
      <c r="L235">
        <v>1</v>
      </c>
      <c r="M235">
        <v>7</v>
      </c>
      <c r="N235" t="s">
        <v>14</v>
      </c>
      <c r="O235">
        <f xml:space="preserve"> 表1[[#This Row],[Thallium]]*0.6</f>
        <v>4.2</v>
      </c>
    </row>
    <row r="236" spans="1:15" x14ac:dyDescent="0.3">
      <c r="A236">
        <v>62</v>
      </c>
      <c r="B236">
        <v>1</v>
      </c>
      <c r="C236">
        <v>3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>
        <v>1.8</v>
      </c>
      <c r="K236">
        <v>2</v>
      </c>
      <c r="L236">
        <v>3</v>
      </c>
      <c r="M236">
        <v>7</v>
      </c>
      <c r="N236" t="s">
        <v>15</v>
      </c>
      <c r="O236">
        <f xml:space="preserve"> 表1[[#This Row],[Thallium]]*0.6</f>
        <v>4.2</v>
      </c>
    </row>
    <row r="237" spans="1:15" x14ac:dyDescent="0.3">
      <c r="A237">
        <v>62</v>
      </c>
      <c r="B237">
        <v>0</v>
      </c>
      <c r="C237">
        <v>4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>
        <v>6.2</v>
      </c>
      <c r="K237">
        <v>3</v>
      </c>
      <c r="L237">
        <v>3</v>
      </c>
      <c r="M237">
        <v>7</v>
      </c>
      <c r="N237" t="s">
        <v>14</v>
      </c>
      <c r="O237">
        <f xml:space="preserve"> 表1[[#This Row],[Thallium]]*0.6</f>
        <v>4.2</v>
      </c>
    </row>
    <row r="238" spans="1:15" x14ac:dyDescent="0.3">
      <c r="A238">
        <v>53</v>
      </c>
      <c r="B238">
        <v>0</v>
      </c>
      <c r="C238">
        <v>4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>
        <v>0</v>
      </c>
      <c r="K238">
        <v>1</v>
      </c>
      <c r="L238">
        <v>0</v>
      </c>
      <c r="M238">
        <v>3</v>
      </c>
      <c r="N238" t="s">
        <v>15</v>
      </c>
      <c r="O238">
        <f xml:space="preserve"> 表1[[#This Row],[Thallium]]*0.6</f>
        <v>1.7999999999999998</v>
      </c>
    </row>
    <row r="239" spans="1:15" x14ac:dyDescent="0.3">
      <c r="A239">
        <v>43</v>
      </c>
      <c r="B239">
        <v>1</v>
      </c>
      <c r="C239">
        <v>4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>
        <v>2.5</v>
      </c>
      <c r="K239">
        <v>2</v>
      </c>
      <c r="L239">
        <v>0</v>
      </c>
      <c r="M239">
        <v>7</v>
      </c>
      <c r="N239" t="s">
        <v>14</v>
      </c>
      <c r="O239">
        <f xml:space="preserve"> 表1[[#This Row],[Thallium]]*0.6</f>
        <v>4.2</v>
      </c>
    </row>
    <row r="240" spans="1:15" x14ac:dyDescent="0.3">
      <c r="A240">
        <v>47</v>
      </c>
      <c r="B240">
        <v>1</v>
      </c>
      <c r="C240">
        <v>3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>
        <v>0</v>
      </c>
      <c r="K240">
        <v>1</v>
      </c>
      <c r="L240">
        <v>0</v>
      </c>
      <c r="M240">
        <v>3</v>
      </c>
      <c r="N240" t="s">
        <v>15</v>
      </c>
      <c r="O240">
        <f xml:space="preserve"> 表1[[#This Row],[Thallium]]*0.6</f>
        <v>1.7999999999999998</v>
      </c>
    </row>
    <row r="241" spans="1:15" x14ac:dyDescent="0.3">
      <c r="A241">
        <v>52</v>
      </c>
      <c r="B241">
        <v>1</v>
      </c>
      <c r="C241">
        <v>2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>
        <v>0.2</v>
      </c>
      <c r="K241">
        <v>1</v>
      </c>
      <c r="L241">
        <v>0</v>
      </c>
      <c r="M241">
        <v>3</v>
      </c>
      <c r="N241" t="s">
        <v>15</v>
      </c>
      <c r="O241">
        <f xml:space="preserve"> 表1[[#This Row],[Thallium]]*0.6</f>
        <v>1.7999999999999998</v>
      </c>
    </row>
    <row r="242" spans="1:15" x14ac:dyDescent="0.3">
      <c r="A242">
        <v>68</v>
      </c>
      <c r="B242">
        <v>1</v>
      </c>
      <c r="C242">
        <v>3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>
        <v>1.6</v>
      </c>
      <c r="K242">
        <v>2</v>
      </c>
      <c r="L242">
        <v>0</v>
      </c>
      <c r="M242">
        <v>7</v>
      </c>
      <c r="N242" t="s">
        <v>14</v>
      </c>
      <c r="O242">
        <f xml:space="preserve"> 表1[[#This Row],[Thallium]]*0.6</f>
        <v>4.2</v>
      </c>
    </row>
    <row r="243" spans="1:15" x14ac:dyDescent="0.3">
      <c r="A243">
        <v>39</v>
      </c>
      <c r="B243">
        <v>1</v>
      </c>
      <c r="C243">
        <v>3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>
        <v>0</v>
      </c>
      <c r="K243">
        <v>1</v>
      </c>
      <c r="L243">
        <v>0</v>
      </c>
      <c r="M243">
        <v>3</v>
      </c>
      <c r="N243" t="s">
        <v>15</v>
      </c>
      <c r="O243">
        <f xml:space="preserve"> 表1[[#This Row],[Thallium]]*0.6</f>
        <v>1.7999999999999998</v>
      </c>
    </row>
    <row r="244" spans="1:15" x14ac:dyDescent="0.3">
      <c r="A244">
        <v>53</v>
      </c>
      <c r="B244">
        <v>0</v>
      </c>
      <c r="C244">
        <v>4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>
        <v>0.4</v>
      </c>
      <c r="K244">
        <v>2</v>
      </c>
      <c r="L244">
        <v>0</v>
      </c>
      <c r="M244">
        <v>3</v>
      </c>
      <c r="N244" t="s">
        <v>15</v>
      </c>
      <c r="O244">
        <f xml:space="preserve"> 表1[[#This Row],[Thallium]]*0.6</f>
        <v>1.7999999999999998</v>
      </c>
    </row>
    <row r="245" spans="1:15" x14ac:dyDescent="0.3">
      <c r="A245">
        <v>62</v>
      </c>
      <c r="B245">
        <v>0</v>
      </c>
      <c r="C245">
        <v>4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>
        <v>3.6</v>
      </c>
      <c r="K245">
        <v>3</v>
      </c>
      <c r="L245">
        <v>2</v>
      </c>
      <c r="M245">
        <v>3</v>
      </c>
      <c r="N245" t="s">
        <v>14</v>
      </c>
      <c r="O245">
        <f xml:space="preserve"> 表1[[#This Row],[Thallium]]*0.6</f>
        <v>1.7999999999999998</v>
      </c>
    </row>
    <row r="246" spans="1:15" x14ac:dyDescent="0.3">
      <c r="A246">
        <v>51</v>
      </c>
      <c r="B246">
        <v>0</v>
      </c>
      <c r="C246">
        <v>3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>
        <v>1.5</v>
      </c>
      <c r="K246">
        <v>1</v>
      </c>
      <c r="L246">
        <v>1</v>
      </c>
      <c r="M246">
        <v>3</v>
      </c>
      <c r="N246" t="s">
        <v>15</v>
      </c>
      <c r="O246">
        <f xml:space="preserve"> 表1[[#This Row],[Thallium]]*0.6</f>
        <v>1.7999999999999998</v>
      </c>
    </row>
    <row r="247" spans="1:15" x14ac:dyDescent="0.3">
      <c r="A247">
        <v>60</v>
      </c>
      <c r="B247">
        <v>1</v>
      </c>
      <c r="C247">
        <v>4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>
        <v>1.4</v>
      </c>
      <c r="K247">
        <v>1</v>
      </c>
      <c r="L247">
        <v>1</v>
      </c>
      <c r="M247">
        <v>7</v>
      </c>
      <c r="N247" t="s">
        <v>14</v>
      </c>
      <c r="O247">
        <f xml:space="preserve"> 表1[[#This Row],[Thallium]]*0.6</f>
        <v>4.2</v>
      </c>
    </row>
    <row r="248" spans="1:15" x14ac:dyDescent="0.3">
      <c r="A248">
        <v>65</v>
      </c>
      <c r="B248">
        <v>1</v>
      </c>
      <c r="C248">
        <v>4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>
        <v>0.6</v>
      </c>
      <c r="K248">
        <v>1</v>
      </c>
      <c r="L248">
        <v>2</v>
      </c>
      <c r="M248">
        <v>6</v>
      </c>
      <c r="N248" t="s">
        <v>14</v>
      </c>
      <c r="O248">
        <f xml:space="preserve"> 表1[[#This Row],[Thallium]]*0.6</f>
        <v>3.5999999999999996</v>
      </c>
    </row>
    <row r="249" spans="1:15" x14ac:dyDescent="0.3">
      <c r="A249">
        <v>65</v>
      </c>
      <c r="B249">
        <v>0</v>
      </c>
      <c r="C249">
        <v>3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>
        <v>0.8</v>
      </c>
      <c r="K249">
        <v>1</v>
      </c>
      <c r="L249">
        <v>0</v>
      </c>
      <c r="M249">
        <v>3</v>
      </c>
      <c r="N249" t="s">
        <v>15</v>
      </c>
      <c r="O249">
        <f xml:space="preserve"> 表1[[#This Row],[Thallium]]*0.6</f>
        <v>1.7999999999999998</v>
      </c>
    </row>
    <row r="250" spans="1:15" x14ac:dyDescent="0.3">
      <c r="A250">
        <v>60</v>
      </c>
      <c r="B250">
        <v>1</v>
      </c>
      <c r="C250">
        <v>3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>
        <v>3</v>
      </c>
      <c r="K250">
        <v>2</v>
      </c>
      <c r="L250">
        <v>0</v>
      </c>
      <c r="M250">
        <v>3</v>
      </c>
      <c r="N250" t="s">
        <v>14</v>
      </c>
      <c r="O250">
        <f xml:space="preserve"> 表1[[#This Row],[Thallium]]*0.6</f>
        <v>1.7999999999999998</v>
      </c>
    </row>
    <row r="251" spans="1:15" x14ac:dyDescent="0.3">
      <c r="A251">
        <v>60</v>
      </c>
      <c r="B251">
        <v>1</v>
      </c>
      <c r="C251">
        <v>4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>
        <v>2.8</v>
      </c>
      <c r="K251">
        <v>2</v>
      </c>
      <c r="L251">
        <v>2</v>
      </c>
      <c r="M251">
        <v>7</v>
      </c>
      <c r="N251" t="s">
        <v>14</v>
      </c>
      <c r="O251">
        <f xml:space="preserve"> 表1[[#This Row],[Thallium]]*0.6</f>
        <v>4.2</v>
      </c>
    </row>
    <row r="252" spans="1:15" x14ac:dyDescent="0.3">
      <c r="A252">
        <v>54</v>
      </c>
      <c r="B252">
        <v>1</v>
      </c>
      <c r="C252">
        <v>4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>
        <v>1.4</v>
      </c>
      <c r="K252">
        <v>2</v>
      </c>
      <c r="L252">
        <v>1</v>
      </c>
      <c r="M252">
        <v>7</v>
      </c>
      <c r="N252" t="s">
        <v>14</v>
      </c>
      <c r="O252">
        <f xml:space="preserve"> 表1[[#This Row],[Thallium]]*0.6</f>
        <v>4.2</v>
      </c>
    </row>
    <row r="253" spans="1:15" x14ac:dyDescent="0.3">
      <c r="A253">
        <v>44</v>
      </c>
      <c r="B253">
        <v>1</v>
      </c>
      <c r="C253">
        <v>2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>
        <v>0</v>
      </c>
      <c r="K253">
        <v>1</v>
      </c>
      <c r="L253">
        <v>0</v>
      </c>
      <c r="M253">
        <v>3</v>
      </c>
      <c r="N253" t="s">
        <v>15</v>
      </c>
      <c r="O253">
        <f xml:space="preserve"> 表1[[#This Row],[Thallium]]*0.6</f>
        <v>1.7999999999999998</v>
      </c>
    </row>
    <row r="254" spans="1:15" x14ac:dyDescent="0.3">
      <c r="A254">
        <v>44</v>
      </c>
      <c r="B254">
        <v>1</v>
      </c>
      <c r="C254">
        <v>4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>
        <v>0</v>
      </c>
      <c r="K254">
        <v>1</v>
      </c>
      <c r="L254">
        <v>1</v>
      </c>
      <c r="M254">
        <v>3</v>
      </c>
      <c r="N254" t="s">
        <v>14</v>
      </c>
      <c r="O254">
        <f xml:space="preserve"> 表1[[#This Row],[Thallium]]*0.6</f>
        <v>1.7999999999999998</v>
      </c>
    </row>
    <row r="255" spans="1:15" x14ac:dyDescent="0.3">
      <c r="A255">
        <v>51</v>
      </c>
      <c r="B255">
        <v>1</v>
      </c>
      <c r="C255">
        <v>3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>
        <v>0.6</v>
      </c>
      <c r="K255">
        <v>1</v>
      </c>
      <c r="L255">
        <v>0</v>
      </c>
      <c r="M255">
        <v>3</v>
      </c>
      <c r="N255" t="s">
        <v>15</v>
      </c>
      <c r="O255">
        <f xml:space="preserve"> 表1[[#This Row],[Thallium]]*0.6</f>
        <v>1.7999999999999998</v>
      </c>
    </row>
    <row r="256" spans="1:15" x14ac:dyDescent="0.3">
      <c r="A256">
        <v>59</v>
      </c>
      <c r="B256">
        <v>1</v>
      </c>
      <c r="C256">
        <v>3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>
        <v>1.6</v>
      </c>
      <c r="K256">
        <v>1</v>
      </c>
      <c r="L256">
        <v>0</v>
      </c>
      <c r="M256">
        <v>3</v>
      </c>
      <c r="N256" t="s">
        <v>15</v>
      </c>
      <c r="O256">
        <f xml:space="preserve"> 表1[[#This Row],[Thallium]]*0.6</f>
        <v>1.7999999999999998</v>
      </c>
    </row>
    <row r="257" spans="1:15" x14ac:dyDescent="0.3">
      <c r="A257">
        <v>71</v>
      </c>
      <c r="B257">
        <v>0</v>
      </c>
      <c r="C257">
        <v>2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>
        <v>0.4</v>
      </c>
      <c r="K257">
        <v>1</v>
      </c>
      <c r="L257">
        <v>2</v>
      </c>
      <c r="M257">
        <v>3</v>
      </c>
      <c r="N257" t="s">
        <v>15</v>
      </c>
      <c r="O257">
        <f xml:space="preserve"> 表1[[#This Row],[Thallium]]*0.6</f>
        <v>1.7999999999999998</v>
      </c>
    </row>
    <row r="258" spans="1:15" x14ac:dyDescent="0.3">
      <c r="A258">
        <v>61</v>
      </c>
      <c r="B258">
        <v>1</v>
      </c>
      <c r="C258">
        <v>3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>
        <v>1</v>
      </c>
      <c r="K258">
        <v>2</v>
      </c>
      <c r="L258">
        <v>0</v>
      </c>
      <c r="M258">
        <v>3</v>
      </c>
      <c r="N258" t="s">
        <v>15</v>
      </c>
      <c r="O258">
        <f xml:space="preserve"> 表1[[#This Row],[Thallium]]*0.6</f>
        <v>1.7999999999999998</v>
      </c>
    </row>
    <row r="259" spans="1:15" x14ac:dyDescent="0.3">
      <c r="A259">
        <v>55</v>
      </c>
      <c r="B259">
        <v>1</v>
      </c>
      <c r="C259">
        <v>4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>
        <v>1.2</v>
      </c>
      <c r="K259">
        <v>2</v>
      </c>
      <c r="L259">
        <v>1</v>
      </c>
      <c r="M259">
        <v>7</v>
      </c>
      <c r="N259" t="s">
        <v>14</v>
      </c>
      <c r="O259">
        <f xml:space="preserve"> 表1[[#This Row],[Thallium]]*0.6</f>
        <v>4.2</v>
      </c>
    </row>
    <row r="260" spans="1:15" x14ac:dyDescent="0.3">
      <c r="A260">
        <v>64</v>
      </c>
      <c r="B260">
        <v>1</v>
      </c>
      <c r="C260">
        <v>3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>
        <v>0</v>
      </c>
      <c r="K260">
        <v>1</v>
      </c>
      <c r="L260">
        <v>0</v>
      </c>
      <c r="M260">
        <v>3</v>
      </c>
      <c r="N260" t="s">
        <v>14</v>
      </c>
      <c r="O260">
        <f xml:space="preserve"> 表1[[#This Row],[Thallium]]*0.6</f>
        <v>1.7999999999999998</v>
      </c>
    </row>
    <row r="261" spans="1:15" x14ac:dyDescent="0.3">
      <c r="A261">
        <v>43</v>
      </c>
      <c r="B261">
        <v>1</v>
      </c>
      <c r="C261">
        <v>4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>
        <v>1.5</v>
      </c>
      <c r="K261">
        <v>1</v>
      </c>
      <c r="L261">
        <v>0</v>
      </c>
      <c r="M261">
        <v>3</v>
      </c>
      <c r="N261" t="s">
        <v>15</v>
      </c>
      <c r="O261">
        <f xml:space="preserve"> 表1[[#This Row],[Thallium]]*0.6</f>
        <v>1.7999999999999998</v>
      </c>
    </row>
    <row r="262" spans="1:15" x14ac:dyDescent="0.3">
      <c r="A262">
        <v>58</v>
      </c>
      <c r="B262">
        <v>0</v>
      </c>
      <c r="C262">
        <v>3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>
        <v>0</v>
      </c>
      <c r="K262">
        <v>1</v>
      </c>
      <c r="L262">
        <v>0</v>
      </c>
      <c r="M262">
        <v>3</v>
      </c>
      <c r="N262" t="s">
        <v>15</v>
      </c>
      <c r="O262">
        <f xml:space="preserve"> 表1[[#This Row],[Thallium]]*0.6</f>
        <v>1.7999999999999998</v>
      </c>
    </row>
    <row r="263" spans="1:15" x14ac:dyDescent="0.3">
      <c r="A263">
        <v>60</v>
      </c>
      <c r="B263">
        <v>1</v>
      </c>
      <c r="C263">
        <v>4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>
        <v>2.4</v>
      </c>
      <c r="K263">
        <v>2</v>
      </c>
      <c r="L263">
        <v>2</v>
      </c>
      <c r="M263">
        <v>7</v>
      </c>
      <c r="N263" t="s">
        <v>14</v>
      </c>
      <c r="O263">
        <f xml:space="preserve"> 表1[[#This Row],[Thallium]]*0.6</f>
        <v>4.2</v>
      </c>
    </row>
    <row r="264" spans="1:15" x14ac:dyDescent="0.3">
      <c r="A264">
        <v>58</v>
      </c>
      <c r="B264">
        <v>1</v>
      </c>
      <c r="C264">
        <v>2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>
        <v>1.8</v>
      </c>
      <c r="K264">
        <v>2</v>
      </c>
      <c r="L264">
        <v>0</v>
      </c>
      <c r="M264">
        <v>3</v>
      </c>
      <c r="N264" t="s">
        <v>14</v>
      </c>
      <c r="O264">
        <f xml:space="preserve"> 表1[[#This Row],[Thallium]]*0.6</f>
        <v>1.7999999999999998</v>
      </c>
    </row>
    <row r="265" spans="1:15" x14ac:dyDescent="0.3">
      <c r="A265">
        <v>49</v>
      </c>
      <c r="B265">
        <v>1</v>
      </c>
      <c r="C265">
        <v>2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>
        <v>0.6</v>
      </c>
      <c r="K265">
        <v>1</v>
      </c>
      <c r="L265">
        <v>0</v>
      </c>
      <c r="M265">
        <v>3</v>
      </c>
      <c r="N265" t="s">
        <v>15</v>
      </c>
      <c r="O265">
        <f xml:space="preserve"> 表1[[#This Row],[Thallium]]*0.6</f>
        <v>1.7999999999999998</v>
      </c>
    </row>
    <row r="266" spans="1:15" x14ac:dyDescent="0.3">
      <c r="A266">
        <v>48</v>
      </c>
      <c r="B266">
        <v>1</v>
      </c>
      <c r="C266">
        <v>2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>
        <v>1</v>
      </c>
      <c r="K266">
        <v>3</v>
      </c>
      <c r="L266">
        <v>0</v>
      </c>
      <c r="M266">
        <v>7</v>
      </c>
      <c r="N266" t="s">
        <v>14</v>
      </c>
      <c r="O266">
        <f xml:space="preserve"> 表1[[#This Row],[Thallium]]*0.6</f>
        <v>4.2</v>
      </c>
    </row>
    <row r="267" spans="1:15" x14ac:dyDescent="0.3">
      <c r="A267">
        <v>52</v>
      </c>
      <c r="B267">
        <v>1</v>
      </c>
      <c r="C267">
        <v>3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>
        <v>0.5</v>
      </c>
      <c r="K267">
        <v>1</v>
      </c>
      <c r="L267">
        <v>0</v>
      </c>
      <c r="M267">
        <v>7</v>
      </c>
      <c r="N267" t="s">
        <v>15</v>
      </c>
      <c r="O267">
        <f xml:space="preserve"> 表1[[#This Row],[Thallium]]*0.6</f>
        <v>4.2</v>
      </c>
    </row>
    <row r="268" spans="1:15" x14ac:dyDescent="0.3">
      <c r="A268">
        <v>44</v>
      </c>
      <c r="B268">
        <v>1</v>
      </c>
      <c r="C268">
        <v>2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>
        <v>0</v>
      </c>
      <c r="K268">
        <v>1</v>
      </c>
      <c r="L268">
        <v>0</v>
      </c>
      <c r="M268">
        <v>7</v>
      </c>
      <c r="N268" t="s">
        <v>15</v>
      </c>
      <c r="O268">
        <f xml:space="preserve"> 表1[[#This Row],[Thallium]]*0.6</f>
        <v>4.2</v>
      </c>
    </row>
    <row r="269" spans="1:15" x14ac:dyDescent="0.3">
      <c r="A269">
        <v>56</v>
      </c>
      <c r="B269">
        <v>0</v>
      </c>
      <c r="C269">
        <v>2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>
        <v>1.3</v>
      </c>
      <c r="K269">
        <v>2</v>
      </c>
      <c r="L269">
        <v>0</v>
      </c>
      <c r="M269">
        <v>3</v>
      </c>
      <c r="N269" t="s">
        <v>15</v>
      </c>
      <c r="O269">
        <f xml:space="preserve"> 表1[[#This Row],[Thallium]]*0.6</f>
        <v>1.7999999999999998</v>
      </c>
    </row>
    <row r="270" spans="1:15" x14ac:dyDescent="0.3">
      <c r="A270">
        <v>57</v>
      </c>
      <c r="B270">
        <v>1</v>
      </c>
      <c r="C270">
        <v>4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>
        <v>0.4</v>
      </c>
      <c r="K270">
        <v>2</v>
      </c>
      <c r="L270">
        <v>0</v>
      </c>
      <c r="M270">
        <v>6</v>
      </c>
      <c r="N270" t="s">
        <v>15</v>
      </c>
      <c r="O270">
        <f xml:space="preserve"> 表1[[#This Row],[Thallium]]*0.6</f>
        <v>3.5999999999999996</v>
      </c>
    </row>
    <row r="271" spans="1:15" x14ac:dyDescent="0.3">
      <c r="A271">
        <v>67</v>
      </c>
      <c r="B271">
        <v>1</v>
      </c>
      <c r="C271">
        <v>4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>
        <v>1.5</v>
      </c>
      <c r="K271">
        <v>2</v>
      </c>
      <c r="L271">
        <v>3</v>
      </c>
      <c r="M271">
        <v>3</v>
      </c>
      <c r="N271" t="s">
        <v>14</v>
      </c>
      <c r="O271">
        <f xml:space="preserve"> 表1[[#This Row],[Thallium]]*0.6</f>
        <v>1.7999999999999998</v>
      </c>
    </row>
    <row r="272" spans="1:15" x14ac:dyDescent="0.3">
      <c r="A272">
        <v>23</v>
      </c>
      <c r="B272">
        <v>23</v>
      </c>
      <c r="C272">
        <v>2</v>
      </c>
      <c r="D272">
        <v>312</v>
      </c>
      <c r="E272">
        <v>23</v>
      </c>
      <c r="N272" t="s">
        <v>17</v>
      </c>
      <c r="O272" s="1">
        <f xml:space="preserve"> 表1[[#This Row],[Thallium]]*0.6</f>
        <v>0</v>
      </c>
    </row>
    <row r="273" spans="1:15" x14ac:dyDescent="0.3">
      <c r="A273" t="s">
        <v>18</v>
      </c>
      <c r="N273">
        <f>SUBTOTAL(109,表1[Heart Disease])</f>
        <v>0</v>
      </c>
      <c r="O273">
        <f>SUBTOTAL(109,表1[列1])</f>
        <v>760.8000000000003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Heart_Disease_Prediction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qcy</dc:creator>
  <cp:lastModifiedBy>a23780</cp:lastModifiedBy>
  <dcterms:created xsi:type="dcterms:W3CDTF">2026-01-06T04:07:47Z</dcterms:created>
  <dcterms:modified xsi:type="dcterms:W3CDTF">2026-03-22T18:01:16Z</dcterms:modified>
</cp:coreProperties>
</file>